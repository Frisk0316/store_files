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c09f1fe1d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摘要" sheetId="1" r:id="R1f7301fb3799471e"/>
    <x:sheet xmlns:r="http://schemas.openxmlformats.org/officeDocument/2006/relationships" name="可核對明細" sheetId="2" r:id="R86e4522c8fbc4bb1"/>
    <x:sheet xmlns:r="http://schemas.openxmlformats.org/officeDocument/2006/relationships" name="近月節目清單" sheetId="3" r:id="Rbe8ecbf1e2984d85"/>
    <x:sheet xmlns:r="http://schemas.openxmlformats.org/officeDocument/2006/relationships" name="方法與限制" sheetId="4" r:id="Rcbabb44e7e0e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&quot;x&quot;"/>
    <x:numFmt numFmtId="203" formatCode="0.0"/>
    <x:numFmt numFmtId="204" formatCode="yyyy-mm-dd"/>
    <x:numFmt numFmtId="205" formatCode="[m]:ss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6"/>
      </x:patternFill>
    </x:fill>
    <x:fill>
      <x:patternFill patternType="solid">
        <x:fgColor rgb="FFEAF4F7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4">
    <x:border/>
    <x:border/>
    <x:border>
      <x:bottom style="thin">
        <x:color rgb="FFCBD5E1"/>
      </x:bottom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3" xfId="0" applyNumberFormat="1" applyFont="1" applyFill="1" applyBorder="1"/>
    <x:xf numFmtId="0" fontId="0" fillId="0" borderId="17" xfId="0" applyNumberFormat="1" applyFont="1" applyFill="1" applyBorder="1"/>
    <x:xf numFmtId="0" fontId="4" fillId="0" borderId="4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0" fontId="4" fillId="0" borderId="11" xfId="0" applyNumberFormat="1" applyFont="1" applyFill="1" applyBorder="1"/>
    <x:xf numFmtId="0" fontId="4" fillId="0" borderId="14" xfId="0" applyNumberFormat="1" applyFont="1" applyFill="1" applyBorder="1"/>
    <x:xf numFmtId="0" fontId="4" fillId="0" borderId="16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12" xfId="0" applyNumberFormat="1" applyFont="1" applyFill="1" applyBorder="1"/>
    <x:xf numFmtId="200" fontId="0" fillId="0" borderId="1" xfId="0" applyNumberFormat="1" applyFont="1" applyFill="1" applyBorder="1"/>
    <x:xf numFmtId="200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12" xfId="0" applyNumberFormat="1" applyFont="1" applyFill="1" applyBorder="1"/>
    <x:xf numFmtId="201" fontId="0" fillId="0" borderId="1" xfId="0" applyNumberFormat="1" applyFont="1" applyFill="1" applyBorder="1"/>
    <x:xf numFmtId="201" fontId="0" fillId="0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202" fontId="0" fillId="0" borderId="12" xfId="0" applyNumberFormat="1" applyFont="1" applyFill="1" applyBorder="1"/>
    <x:xf numFmtId="202" fontId="0" fillId="0" borderId="1" xfId="0" applyNumberFormat="1" applyFont="1" applyFill="1" applyBorder="1"/>
    <x:xf numFmtId="202" fontId="0" fillId="0" borderId="3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5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4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5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4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5" fontId="0" fillId="0" borderId="3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95e239dd74eb9" /><Relationship Type="http://schemas.openxmlformats.org/officeDocument/2006/relationships/theme" Target="/xl/theme/theme1.xml" Id="R9c1e9c3c5b6e44b7" /><Relationship Type="http://schemas.openxmlformats.org/officeDocument/2006/relationships/sharedStrings" Target="/xl/sharedStrings.xml" Id="Rc012db14f8354edb" /><Relationship Type="http://schemas.openxmlformats.org/officeDocument/2006/relationships/worksheet" Target="/xl/worksheets/sheet1.xml" Id="R1f7301fb3799471e" /><Relationship Type="http://schemas.openxmlformats.org/officeDocument/2006/relationships/worksheet" Target="/xl/worksheets/sheet2.xml" Id="R86e4522c8fbc4bb1" /><Relationship Type="http://schemas.openxmlformats.org/officeDocument/2006/relationships/worksheet" Target="/xl/worksheets/sheet3.xml" Id="Rbe8ecbf1e2984d85" /><Relationship Type="http://schemas.openxmlformats.org/officeDocument/2006/relationships/worksheet" Target="/xl/worksheets/sheet4.xml" Id="Rcbabb44e7e0e47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4c580ca68147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可核樣本中位數觀看（千次）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中位數觀看（千次）</c:v>
          </c:tx>
          <c:cat>
            <c:strRef>
              <c:f>'比較摘要'!$J$21:$J$24</c:f>
              <c:strCache>
                <c:ptCount val="0"/>
              </c:strCache>
            </c:strRef>
          </c:cat>
          <c:val>
            <c:numRef>
              <c:f>'比較摘要'!$K$21:$K$24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c580ca68147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ifiedSamplesTable" displayName="VerifiedSamplesTable" ref="A1:J31" headerRowCount="1">
  <x:tableColumns count="10">
    <x:tableColumn id="1" name="節目"/>
    <x:tableColumn id="2" name="日期"/>
    <x:tableColumn id="3" name="標題"/>
    <x:tableColumn id="4" name="觀看數（約）"/>
    <x:tableColumn id="5" name="時長"/>
    <x:tableColumn id="6" name="觀看數精度"/>
    <x:tableColumn id="7" name="時長精度"/>
    <x:tableColumn id="8" name="資料狀態"/>
    <x:tableColumn id="9" name="來源 URL"/>
    <x:tableColumn id="10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MonthlyProgramsTable" displayName="MonthlyProgramsTable" ref="A1:J83" headerRowCount="1">
  <x:tableColumns count="10">
    <x:tableColumn id="1" name="節目"/>
    <x:tableColumn id="2" name="日期"/>
    <x:tableColumn id="3" name="集數"/>
    <x:tableColumn id="4" name="標題"/>
    <x:tableColumn id="5" name="觀看數（約）"/>
    <x:tableColumn id="6" name="時長"/>
    <x:tableColumn id="7" name="觀看數資料狀態"/>
    <x:tableColumn id="8" name="時長資料狀態"/>
    <x:tableColumn id="9" name="來源 URL"/>
    <x:tableColumn id="10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aa77dd5dbb45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068034001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ca54f4f89b43c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7" hidden="0" customWidth="1"/>
    <x:col min="8" max="8" width="31" hidden="0" customWidth="1"/>
    <x:col min="10" max="10" width="28" hidden="0" customWidth="1"/>
    <x:col min="11" max="11" width="18" hidden="0" customWidth="1"/>
  </x:cols>
  <x:sheetData>
    <x:row r="1" ht="34" customHeight="1">
      <x:c r="A1" s="5" t="str">
        <x:v>近一個月財經直播觀看數比較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比較期間：2026/06/22–2026/07/20｜擷取日：2026/07/21（Asia/Taipei）｜統計口徑：YouTube 公開索引可核樣本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21" t="str">
        <x:v>節目</x:v>
      </x:c>
      <x:c r="B4" s="21" t="str">
        <x:v>可核樣本數</x:v>
      </x:c>
      <x:c r="C4" s="21" t="str">
        <x:v>中位數觀看</x:v>
      </x:c>
      <x:c r="D4" s="21" t="str">
        <x:v>平均觀看</x:v>
      </x:c>
      <x:c r="E4" s="21" t="str">
        <x:v>最低</x:v>
      </x:c>
      <x:c r="F4" s="21" t="str">
        <x:v>最高</x:v>
      </x:c>
      <x:c r="G4" s="21" t="str">
        <x:v>與永豐中位數比</x:v>
      </x:c>
      <x:c r="H4" s="21" t="str">
        <x:v>判讀</x:v>
      </x:c>
    </x:row>
    <x:row r="5" ht="32" customHeight="1">
      <x:c r="A5" s="99" t="str">
        <x:v>游庭皓｜早晨財經速解讀</x:v>
      </x:c>
      <x:c r="B5" s="100" t="n">
        <x:f>COUNT('可核對明細'!$D$2:$D$10)</x:f>
        <x:v>9</x:v>
      </x:c>
      <x:c r="C5" s="101" t="n">
        <x:f>MEDIAN('可核對明細'!$D$2:$D$10)</x:f>
        <x:v>150000</x:v>
      </x:c>
      <x:c r="D5" s="101" t="n">
        <x:f>AVERAGE('可核對明細'!$D$2:$D$10)</x:f>
        <x:v>148222.22222222222</x:v>
      </x:c>
      <x:c r="E5" s="101" t="n">
        <x:f>MIN('可核對明細'!$D$2:$D$10)</x:f>
        <x:v>123000</x:v>
      </x:c>
      <x:c r="F5" s="101" t="n">
        <x:f>MAX('可核對明細'!$D$2:$D$10)</x:f>
        <x:v>173000</x:v>
      </x:c>
      <x:c r="G5" s="102" t="n">
        <x:f>IFERROR(C5/$C$8,0)</x:f>
        <x:v>65.21739130434783</x:v>
      </x:c>
      <x:c r="H5" s="103" t="str">
        <x:v>量級領先；單場多為十萬級</x:v>
      </x:c>
    </x:row>
    <x:row r="6" ht="32" customHeight="1">
      <x:c r="A6" s="104" t="str">
        <x:v>凱基股股漲</x:v>
      </x:c>
      <x:c r="B6" s="105" t="n">
        <x:f>COUNT('可核對明細'!$D$11:$D$17)</x:f>
        <x:v>7</x:v>
      </x:c>
      <x:c r="C6" s="106" t="n">
        <x:f>MEDIAN('可核對明細'!$D$11:$D$17)</x:f>
        <x:v>11000</x:v>
      </x:c>
      <x:c r="D6" s="106" t="n">
        <x:f>AVERAGE('可核對明細'!$D$11:$D$17)</x:f>
        <x:v>12057.142857142857</x:v>
      </x:c>
      <x:c r="E6" s="106" t="n">
        <x:f>MIN('可核對明細'!$D$11:$D$17)</x:f>
        <x:v>9500</x:v>
      </x:c>
      <x:c r="F6" s="106" t="n">
        <x:f>MAX('可核對明細'!$D$11:$D$17)</x:f>
        <x:v>16000</x:v>
      </x:c>
      <x:c r="G6" s="107" t="n">
        <x:f>IFERROR(C6/$C$8,0)</x:f>
        <x:v>4.782608695652174</x:v>
      </x:c>
      <x:c r="H6" s="108" t="str">
        <x:v>第二名；多為約一萬級</x:v>
      </x:c>
    </x:row>
    <x:row r="7" ht="32" customHeight="1">
      <x:c r="A7" s="104" t="str">
        <x:v>元大看盤室</x:v>
      </x:c>
      <x:c r="B7" s="105" t="n">
        <x:f>COUNT('可核對明細'!$D$18:$D$22)</x:f>
        <x:v>5</x:v>
      </x:c>
      <x:c r="C7" s="106" t="n">
        <x:f>MEDIAN('可核對明細'!$D$18:$D$22)</x:f>
        <x:v>6500</x:v>
      </x:c>
      <x:c r="D7" s="106" t="n">
        <x:f>AVERAGE('可核對明細'!$D$18:$D$22)</x:f>
        <x:v>7500</x:v>
      </x:c>
      <x:c r="E7" s="106" t="n">
        <x:f>MIN('可核對明細'!$D$18:$D$22)</x:f>
        <x:v>2600</x:v>
      </x:c>
      <x:c r="F7" s="106" t="n">
        <x:f>MAX('可核對明細'!$D$18:$D$22)</x:f>
        <x:v>13000</x:v>
      </x:c>
      <x:c r="G7" s="107" t="n">
        <x:f>IFERROR(C7/$C$8,0)</x:f>
        <x:v>2.8260869565217392</x:v>
      </x:c>
      <x:c r="H7" s="108" t="str">
        <x:v>多為數千次，偶有破萬單場</x:v>
      </x:c>
    </x:row>
    <x:row r="8" ht="32" customHeight="1">
      <x:c r="A8" s="109" t="str">
        <x:v>永豐直播｜今天Shot這盤</x:v>
      </x:c>
      <x:c r="B8" s="110" t="n">
        <x:f>COUNT('可核對明細'!$D$23:$D$31)</x:f>
        <x:v>9</x:v>
      </x:c>
      <x:c r="C8" s="111" t="n">
        <x:f>MEDIAN('可核對明細'!$D$23:$D$31)</x:f>
        <x:v>2300</x:v>
      </x:c>
      <x:c r="D8" s="111" t="n">
        <x:f>AVERAGE('可核對明細'!$D$23:$D$31)</x:f>
        <x:v>2388.8888888888887</x:v>
      </x:c>
      <x:c r="E8" s="111" t="n">
        <x:f>MIN('可核對明細'!$D$23:$D$31)</x:f>
        <x:v>1000</x:v>
      </x:c>
      <x:c r="F8" s="111" t="n">
        <x:f>MAX('可核對明細'!$D$23:$D$31)</x:f>
        <x:v>4500</x:v>
      </x:c>
      <x:c r="G8" s="112" t="n">
        <x:f>IFERROR(C8/$C$8,0)</x:f>
        <x:v>1</x:v>
      </x:c>
      <x:c r="H8" s="113" t="str">
        <x:v>多為約一千至四千多次</x:v>
      </x:c>
    </x:row>
    <x:row r="10" ht="25" customHeight="1">
      <x:c r="A10" s="130" t="str">
        <x:v>重點解讀</x:v>
      </x:c>
      <x:c r="B10" s="130"/>
      <x:c r="C10" s="130"/>
      <x:c r="D10" s="130"/>
      <x:c r="E10" s="130"/>
      <x:c r="F10" s="130"/>
      <x:c r="G10" s="130"/>
      <x:c r="H10" s="130"/>
    </x:row>
    <x:row r="11" ht="27" customHeight="1">
      <x:c r="A11" s="137" t="str">
        <x:v>1. 觀看量級排序相當穩定：游庭皓 ＞ 凱基股股漲 ＞ 元大看盤室 ＞ 永豐今天Shot這盤。</x:v>
      </x:c>
      <x:c r="B11" s="137"/>
      <x:c r="C11" s="137"/>
      <x:c r="D11" s="137"/>
      <x:c r="E11" s="137"/>
      <x:c r="F11" s="137"/>
      <x:c r="G11" s="137"/>
      <x:c r="H11" s="137"/>
    </x:row>
    <x:row r="12" ht="27" customHeight="1">
      <x:c r="A12" s="147" t="str">
        <x:v>2. 游庭皓屬十萬級內容；凱基多為萬級；元大與永豐主要落在千級，但元大偶有單場破萬。</x:v>
      </x:c>
      <x:c r="B12" s="147"/>
      <x:c r="C12" s="147"/>
      <x:c r="D12" s="147"/>
      <x:c r="E12" s="147"/>
      <x:c r="F12" s="147"/>
      <x:c r="G12" s="147"/>
      <x:c r="H12" s="147"/>
    </x:row>
    <x:row r="13" ht="27" customHeight="1">
      <x:c r="A13" s="137" t="str">
        <x:v>3. 「總觀看數」會受到上片數與累積天數干擾，本表以每支影片中位數作主比較。</x:v>
      </x:c>
      <x:c r="B13" s="137"/>
      <x:c r="C13" s="137"/>
      <x:c r="D13" s="137"/>
      <x:c r="E13" s="137"/>
      <x:c r="F13" s="137"/>
      <x:c r="G13" s="137"/>
      <x:c r="H13" s="137"/>
    </x:row>
    <x:row r="14" ht="27" customHeight="1">
      <x:c r="A14" s="147" t="str">
        <x:v>4. 7/20影片累積時間最短，因此不宜直接與6月底影片當成同齡樣本。</x:v>
      </x:c>
      <x:c r="B14" s="147"/>
      <x:c r="C14" s="147"/>
      <x:c r="D14" s="147"/>
      <x:c r="E14" s="147"/>
      <x:c r="F14" s="147"/>
      <x:c r="G14" s="147"/>
      <x:c r="H14" s="147"/>
    </x:row>
    <x:row r="15" ht="27" customHeight="1">
      <x:c r="A15" s="137" t="str">
        <x:v>5. 最公平的競品追蹤方式：固定記錄發布後24小時、72小時及7天觀看數。</x:v>
      </x:c>
      <x:c r="B15" s="137"/>
      <x:c r="C15" s="137"/>
      <x:c r="D15" s="137"/>
      <x:c r="E15" s="137"/>
      <x:c r="F15" s="137"/>
      <x:c r="G15" s="137"/>
      <x:c r="H15" s="137"/>
    </x:row>
    <x:row r="20">
      <x:c r="J20" s="21" t="str">
        <x:v>節目</x:v>
      </x:c>
      <x:c r="K20" s="21" t="str">
        <x:v>中位數觀看（千次）</x:v>
      </x:c>
    </x:row>
    <x:row r="21">
      <x:c r="J21" t="str">
        <x:v>游庭皓</x:v>
      </x:c>
      <x:c r="K21" s="153" t="n">
        <x:f>C5/1000</x:f>
        <x:v>150</x:v>
      </x:c>
    </x:row>
    <x:row r="22">
      <x:c r="J22" t="str">
        <x:v>凱基股股漲</x:v>
      </x:c>
      <x:c r="K22" s="153" t="n">
        <x:f>C6/1000</x:f>
        <x:v>11</x:v>
      </x:c>
    </x:row>
    <x:row r="23">
      <x:c r="J23" t="str">
        <x:v>元大看盤室</x:v>
      </x:c>
      <x:c r="K23" s="153" t="n">
        <x:f>C7/1000</x:f>
        <x:v>6.5</x:v>
      </x:c>
    </x:row>
    <x:row r="24">
      <x:c r="J24" t="str">
        <x:v>永豐直播</x:v>
      </x:c>
      <x:c r="K24" s="153" t="n">
        <x:f>C8/1000</x:f>
        <x:v>2.3</x:v>
      </x:c>
    </x:row>
  </x:sheetData>
  <x:mergeCells>
    <x:mergeCell ref="A1:H1"/>
    <x:mergeCell ref="A2:H2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  <x:drawing xmlns:r="http://schemas.openxmlformats.org/officeDocument/2006/relationships" r:id="R27aa77dd5dbb45be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6" hidden="0" customWidth="1"/>
    <x:col min="4" max="4" width="15" hidden="0" customWidth="1"/>
    <x:col min="5" max="5" width="11" hidden="0" customWidth="1"/>
    <x:col min="6" max="6" width="31" hidden="0" customWidth="1"/>
    <x:col min="7" max="7" width="19" hidden="0" customWidth="1"/>
    <x:col min="8" max="8" width="20" hidden="0" customWidth="1"/>
    <x:col min="9" max="9" width="42" hidden="0" customWidth="1"/>
    <x:col min="10" max="10" width="28" hidden="0" customWidth="1"/>
  </x:cols>
  <x:sheetData>
    <x:row r="1" ht="30" customHeight="1">
      <x:c r="A1" s="175" t="str">
        <x:v>節目</x:v>
      </x:c>
      <x:c r="B1" s="176" t="str">
        <x:v>日期</x:v>
      </x:c>
      <x:c r="C1" s="176" t="str">
        <x:v>標題</x:v>
      </x:c>
      <x:c r="D1" s="176" t="str">
        <x:v>觀看數（約）</x:v>
      </x:c>
      <x:c r="E1" s="176" t="str">
        <x:v>時長</x:v>
      </x:c>
      <x:c r="F1" s="176" t="str">
        <x:v>觀看數精度</x:v>
      </x:c>
      <x:c r="G1" s="176" t="str">
        <x:v>時長精度</x:v>
      </x:c>
      <x:c r="H1" s="176" t="str">
        <x:v>資料狀態</x:v>
      </x:c>
      <x:c r="I1" s="176" t="str">
        <x:v>來源 URL</x:v>
      </x:c>
      <x:c r="J1" s="177" t="str">
        <x:v>備註</x:v>
      </x:c>
    </x:row>
    <x:row r="2" ht="45" customHeight="1">
      <x:c r="A2" s="178" t="str">
        <x:v>游庭皓｜早晨財經速解讀</x:v>
      </x:c>
      <x:c r="B2" s="168" t="n">
        <x:v>46195</x:v>
      </x:c>
      <x:c r="C2" s="167" t="str">
        <x:v>美伊和平協議簽得動？油價續跌透玄機？台積衝新高五萬點來了？</x:v>
      </x:c>
      <x:c r="D2" s="169" t="n">
        <x:v>142000</x:v>
      </x:c>
      <x:c r="E2" s="170" t="n">
        <x:v>0.024837962962962964</x:v>
      </x:c>
      <x:c r="F2" s="167" t="str">
        <x:v>約值（公開頁顯示 142K）</x:v>
      </x:c>
      <x:c r="G2" s="167" t="str">
        <x:v>YouTube 公開時長</x:v>
      </x:c>
      <x:c r="H2" s="167" t="str">
        <x:v>已核對</x:v>
      </x:c>
      <x:c r="I2" s="167" t="str">
        <x:v>https://www.youtube.com/watch?v=F-aMpfktiog</x:v>
      </x:c>
      <x:c r="J2" s="179" t="str">
        <x:v>觀看數為公開頁累積值</x:v>
      </x:c>
    </x:row>
    <x:row r="3" ht="45" customHeight="1">
      <x:c r="A3" s="178" t="str">
        <x:v>游庭皓｜早晨財經速解讀</x:v>
      </x:c>
      <x:c r="B3" s="168" t="n">
        <x:v>46196</x:v>
      </x:c>
      <x:c r="C3" s="167" t="str">
        <x:v>資金大輪動 台股衝五萬！SpaceX重挫！散戶被坑了？</x:v>
      </x:c>
      <x:c r="D3" s="169" t="n">
        <x:v>173000</x:v>
      </x:c>
      <x:c r="E3" s="170"/>
      <x:c r="F3" s="167" t="str">
        <x:v>約值（公開頁顯示 173K）</x:v>
      </x:c>
      <x:c r="G3" s="167" t="str">
        <x:v>未核到</x:v>
      </x:c>
      <x:c r="H3" s="167" t="str">
        <x:v>已核對觀看數</x:v>
      </x:c>
      <x:c r="I3" s="167" t="str">
        <x:v>https://www.youtube.com/watch?v=ZOaJ61xMrhM</x:v>
      </x:c>
      <x:c r="J3" s="179" t="str"/>
    </x:row>
    <x:row r="4" ht="45" customHeight="1">
      <x:c r="A4" s="178" t="str">
        <x:v>游庭皓｜早晨財經速解讀</x:v>
      </x:c>
      <x:c r="B4" s="168" t="n">
        <x:v>46197</x:v>
      </x:c>
      <x:c r="C4" s="167" t="str">
        <x:v>記憶體亂流 AI踩剎車？韓股槓桿連環爆 回檔驗信仰？</x:v>
      </x:c>
      <x:c r="D4" s="169" t="n">
        <x:v>156000</x:v>
      </x:c>
      <x:c r="E4" s="170" t="n">
        <x:v>0.024328703703703703</x:v>
      </x:c>
      <x:c r="F4" s="167" t="str">
        <x:v>約值（公開頁顯示 156K）</x:v>
      </x:c>
      <x:c r="G4" s="167" t="str">
        <x:v>YouTube 公開時長</x:v>
      </x:c>
      <x:c r="H4" s="167" t="str">
        <x:v>已核對</x:v>
      </x:c>
      <x:c r="I4" s="167" t="str">
        <x:v>https://www.youtube.com/watch?v=2Z9hMGktBDU</x:v>
      </x:c>
      <x:c r="J4" s="179" t="str"/>
    </x:row>
    <x:row r="5" ht="45" customHeight="1">
      <x:c r="A5" s="178" t="str">
        <x:v>游庭皓｜早晨財經速解讀</x:v>
      </x:c>
      <x:c r="B5" s="168" t="n">
        <x:v>46198</x:v>
      </x:c>
      <x:c r="C5" s="167" t="str">
        <x:v>美光報喜 外資狂賣 內資接得住？金銀油、比特幣重挫 流動性告急？</x:v>
      </x:c>
      <x:c r="D5" s="169" t="n">
        <x:v>150000</x:v>
      </x:c>
      <x:c r="E5" s="170" t="n">
        <x:v>0.02361111111111111</x:v>
      </x:c>
      <x:c r="F5" s="167" t="str">
        <x:v>約值（公開頁顯示 150K）</x:v>
      </x:c>
      <x:c r="G5" s="167" t="str">
        <x:v>YouTube 公開時長</x:v>
      </x:c>
      <x:c r="H5" s="167" t="str">
        <x:v>已核對</x:v>
      </x:c>
      <x:c r="I5" s="167" t="str">
        <x:v>https://www.youtube.com/watch?v=IMOmns5Ii4Q</x:v>
      </x:c>
      <x:c r="J5" s="179" t="str"/>
    </x:row>
    <x:row r="6" ht="45" customHeight="1">
      <x:c r="A6" s="178" t="str">
        <x:v>游庭皓｜早晨財經速解讀</x:v>
      </x:c>
      <x:c r="B6" s="168" t="n">
        <x:v>46211</x:v>
      </x:c>
      <x:c r="C6" s="167" t="str">
        <x:v>三星一季賺贏三年！晶片股卻殺盤 利多出盡？</x:v>
      </x:c>
      <x:c r="D6" s="169" t="n">
        <x:v>123000</x:v>
      </x:c>
      <x:c r="E6" s="170" t="n">
        <x:v>0.021527777777777778</x:v>
      </x:c>
      <x:c r="F6" s="167" t="str">
        <x:v>約值（公開索引）</x:v>
      </x:c>
      <x:c r="G6" s="167" t="str">
        <x:v>同步頁約值</x:v>
      </x:c>
      <x:c r="H6" s="167" t="str">
        <x:v>已核對</x:v>
      </x:c>
      <x:c r="I6" s="167" t="str">
        <x:v>https://www.youtube.com/watch?v=SqtWyR-vASQ</x:v>
      </x:c>
      <x:c r="J6" s="179" t="str"/>
    </x:row>
    <x:row r="7" ht="45" customHeight="1">
      <x:c r="A7" s="178" t="str">
        <x:v>游庭皓｜早晨財經速解讀</x:v>
      </x:c>
      <x:c r="B7" s="168" t="n">
        <x:v>46216</x:v>
      </x:c>
      <x:c r="C7" s="167" t="str">
        <x:v>油價再升溫 海力士掛牌大漲！華爾街為何幾乎沒有人看空？</x:v>
      </x:c>
      <x:c r="D7" s="169" t="n">
        <x:v>139000</x:v>
      </x:c>
      <x:c r="E7" s="170" t="n">
        <x:v>0.02133101851851852</x:v>
      </x:c>
      <x:c r="F7" s="167" t="str">
        <x:v>跨來源約 130K–139K；取較新公開值</x:v>
      </x:c>
      <x:c r="G7" s="167" t="str">
        <x:v>YouTube 公開時長</x:v>
      </x:c>
      <x:c r="H7" s="167" t="str">
        <x:v>跨來源顯示差異</x:v>
      </x:c>
      <x:c r="I7" s="167" t="str">
        <x:v>https://www.youtube.com/watch?v=n0sH57wGfU0</x:v>
      </x:c>
      <x:c r="J7" s="179" t="str">
        <x:v>搜尋索引擷取時間不同</x:v>
      </x:c>
    </x:row>
    <x:row r="8" ht="45" customHeight="1">
      <x:c r="A8" s="178" t="str">
        <x:v>游庭皓｜早晨財經速解讀</x:v>
      </x:c>
      <x:c r="B8" s="168" t="n">
        <x:v>46217</x:v>
      </x:c>
      <x:c r="C8" s="167" t="str">
        <x:v>海峽又封鎖！買點到了？熔斷變日常 記憶體殺盤來了？</x:v>
      </x:c>
      <x:c r="D8" s="169" t="n">
        <x:v>133000</x:v>
      </x:c>
      <x:c r="E8" s="170" t="n">
        <x:v>0.02185185185185185</x:v>
      </x:c>
      <x:c r="F8" s="167" t="str">
        <x:v>約值（公開頁顯示 133K）</x:v>
      </x:c>
      <x:c r="G8" s="167" t="str">
        <x:v>YouTube 公開時長</x:v>
      </x:c>
      <x:c r="H8" s="167" t="str">
        <x:v>已核對</x:v>
      </x:c>
      <x:c r="I8" s="167" t="str">
        <x:v>https://www.youtube.com/watch?v=K7uzlljSjCc</x:v>
      </x:c>
      <x:c r="J8" s="179" t="str"/>
    </x:row>
    <x:row r="9" ht="45" customHeight="1">
      <x:c r="A9" s="178" t="str">
        <x:v>游庭皓｜早晨財經速解讀</x:v>
      </x:c>
      <x:c r="B9" s="168" t="n">
        <x:v>46219</x:v>
      </x:c>
      <x:c r="C9" s="167" t="str">
        <x:v>AI狂熱失控 違約交割潮？AI發巨債 市場吃得下？</x:v>
      </x:c>
      <x:c r="D9" s="169" t="n">
        <x:v>168000</x:v>
      </x:c>
      <x:c r="E9" s="170" t="n">
        <x:v>0.02457175925925926</x:v>
      </x:c>
      <x:c r="F9" s="167" t="str">
        <x:v>跨來源約 134K–168K；取較新公開值</x:v>
      </x:c>
      <x:c r="G9" s="167" t="str">
        <x:v>同步頁精確值</x:v>
      </x:c>
      <x:c r="H9" s="167" t="str">
        <x:v>跨來源顯示差異</x:v>
      </x:c>
      <x:c r="I9" s="167" t="str">
        <x:v>https://www.youtube.com/watch?v=EyDBTfobiQk</x:v>
      </x:c>
      <x:c r="J9" s="179" t="str">
        <x:v>搜尋索引擷取時間不同</x:v>
      </x:c>
    </x:row>
    <x:row r="10" ht="45" customHeight="1">
      <x:c r="A10" s="178" t="str">
        <x:v>游庭皓｜早晨財經速解讀</x:v>
      </x:c>
      <x:c r="B10" s="168" t="n">
        <x:v>46223</x:v>
      </x:c>
      <x:c r="C10" s="167" t="str">
        <x:v>費半入熊 AI牛市結束？槓桿爆倉 買點又到了？Kimi K3震撼AI市場</x:v>
      </x:c>
      <x:c r="D10" s="169" t="n">
        <x:v>150000</x:v>
      </x:c>
      <x:c r="E10" s="170" t="n">
        <x:v>0.023726851851851853</x:v>
      </x:c>
      <x:c r="F10" s="167" t="str">
        <x:v>約值（公開頁顯示 150K）</x:v>
      </x:c>
      <x:c r="G10" s="167" t="str">
        <x:v>同步頁精確值</x:v>
      </x:c>
      <x:c r="H10" s="167" t="str">
        <x:v>已核對</x:v>
      </x:c>
      <x:c r="I10" s="167" t="str">
        <x:v>https://www.youtube.com/watch?v=iE03-xLfFwU</x:v>
      </x:c>
      <x:c r="J10" s="179" t="str"/>
    </x:row>
    <x:row r="11" ht="45" customHeight="1">
      <x:c r="A11" s="178" t="str">
        <x:v>凱基股股漲</x:v>
      </x:c>
      <x:c r="B11" s="168" t="n">
        <x:v>46199</x:v>
      </x:c>
      <x:c r="C11" s="167" t="str">
        <x:v>第696集｜台股下半年趨勢總體檢！掌握關鍵先機佈局未來贏家</x:v>
      </x:c>
      <x:c r="D11" s="169" t="n">
        <x:v>13000</x:v>
      </x:c>
      <x:c r="E11" s="170" t="n">
        <x:v>0.02199074074074074</x:v>
      </x:c>
      <x:c r="F11" s="167" t="str">
        <x:v>約值（公開頁顯示 13K）</x:v>
      </x:c>
      <x:c r="G11" s="167" t="str">
        <x:v>YouTube 公開時長</x:v>
      </x:c>
      <x:c r="H11" s="167" t="str">
        <x:v>已核對</x:v>
      </x:c>
      <x:c r="I11" s="167" t="str">
        <x:v>https://www.youtube.com/watch?v=8pRZlO6DleU</x:v>
      </x:c>
      <x:c r="J11" s="179" t="str"/>
    </x:row>
    <x:row r="12" ht="45" customHeight="1">
      <x:c r="A12" s="178" t="str">
        <x:v>凱基股股漲</x:v>
      </x:c>
      <x:c r="B12" s="168" t="n">
        <x:v>46205</x:v>
      </x:c>
      <x:c r="C12" s="167" t="str">
        <x:v>第700集｜財報季將至如何掌握投資先機？川普點名看好卡位量子運算快轉商機</x:v>
      </x:c>
      <x:c r="D12" s="169" t="n">
        <x:v>16000</x:v>
      </x:c>
      <x:c r="E12" s="170" t="n">
        <x:v>0.009097222222222222</x:v>
      </x:c>
      <x:c r="F12" s="167" t="str">
        <x:v>約值（公開頁顯示 16K）</x:v>
      </x:c>
      <x:c r="G12" s="167" t="str">
        <x:v>YouTube 公開時長</x:v>
      </x:c>
      <x:c r="H12" s="167" t="str">
        <x:v>已核對</x:v>
      </x:c>
      <x:c r="I12" s="167" t="str">
        <x:v>https://www.youtube.com/watch?v=lhoaPU7YLuI</x:v>
      </x:c>
      <x:c r="J12" s="179" t="str"/>
    </x:row>
    <x:row r="13" ht="45" customHeight="1">
      <x:c r="A13" s="178" t="str">
        <x:v>凱基股股漲</x:v>
      </x:c>
      <x:c r="B13" s="168" t="n">
        <x:v>46210</x:v>
      </x:c>
      <x:c r="C13" s="167" t="str">
        <x:v>第703集｜台股多頭加速換檔 非電族群接棒？</x:v>
      </x:c>
      <x:c r="D13" s="169" t="n">
        <x:v>15000</x:v>
      </x:c>
      <x:c r="E13" s="170"/>
      <x:c r="F13" s="167" t="str">
        <x:v>約值（公開頁顯示 15K）</x:v>
      </x:c>
      <x:c r="G13" s="167" t="str">
        <x:v>未核到</x:v>
      </x:c>
      <x:c r="H13" s="167" t="str">
        <x:v>已核對觀看數</x:v>
      </x:c>
      <x:c r="I13" s="167" t="str">
        <x:v>https://www.youtube.com/watch?v=P5nKmDHmPhs</x:v>
      </x:c>
      <x:c r="J13" s="179" t="str"/>
    </x:row>
    <x:row r="14" ht="45" customHeight="1">
      <x:c r="A14" s="178" t="str">
        <x:v>凱基股股漲</x:v>
      </x:c>
      <x:c r="B14" s="168" t="n">
        <x:v>46216</x:v>
      </x:c>
      <x:c r="C14" s="167" t="str">
        <x:v>第707集｜台股震盪焦點往哪放？股債平衡抗波動、不追高</x:v>
      </x:c>
      <x:c r="D14" s="169" t="n">
        <x:v>11000</x:v>
      </x:c>
      <x:c r="E14" s="170"/>
      <x:c r="F14" s="167" t="str">
        <x:v>約值（公開頁顯示 11K）</x:v>
      </x:c>
      <x:c r="G14" s="167" t="str">
        <x:v>未核到</x:v>
      </x:c>
      <x:c r="H14" s="167" t="str">
        <x:v>已核對觀看數</x:v>
      </x:c>
      <x:c r="I14" s="167" t="str">
        <x:v>https://www.youtube.com/watch?v=33-4SJZ5Twg</x:v>
      </x:c>
      <x:c r="J14" s="179" t="str">
        <x:v>標題依公開索引整理</x:v>
      </x:c>
    </x:row>
    <x:row r="15" ht="45" customHeight="1">
      <x:c r="A15" s="178" t="str">
        <x:v>凱基股股漲</x:v>
      </x:c>
      <x:c r="B15" s="168" t="n">
        <x:v>46218</x:v>
      </x:c>
      <x:c r="C15" s="167" t="str">
        <x:v>第708集｜美通膨驚喜降溫治癒市場恐高症？6月營收創高尋寶 獲利還能上修？</x:v>
      </x:c>
      <x:c r="D15" s="169" t="n">
        <x:v>9900</x:v>
      </x:c>
      <x:c r="E15" s="170"/>
      <x:c r="F15" s="167" t="str">
        <x:v>約值（公開頁顯示 9.9K）</x:v>
      </x:c>
      <x:c r="G15" s="167" t="str">
        <x:v>未核到</x:v>
      </x:c>
      <x:c r="H15" s="167" t="str">
        <x:v>已核對觀看數</x:v>
      </x:c>
      <x:c r="I15" s="167" t="str">
        <x:v>https://www.youtube.com/watch?v=aW02BAOlhac</x:v>
      </x:c>
      <x:c r="J15" s="179" t="str"/>
    </x:row>
    <x:row r="16" ht="45" customHeight="1">
      <x:c r="A16" s="178" t="str">
        <x:v>凱基股股漲</x:v>
      </x:c>
      <x:c r="B16" s="168" t="n">
        <x:v>46219</x:v>
      </x:c>
      <x:c r="C16" s="167" t="str">
        <x:v>第709集｜秒變內行台積電法說「精準吃瓜指南」 半導體廠狂擴產 廠務工程悶聲發大財！</x:v>
      </x:c>
      <x:c r="D16" s="169" t="n">
        <x:v>9500</x:v>
      </x:c>
      <x:c r="E16" s="170"/>
      <x:c r="F16" s="167" t="str">
        <x:v>約值（公開頁顯示 9.5K）</x:v>
      </x:c>
      <x:c r="G16" s="167" t="str">
        <x:v>未核到</x:v>
      </x:c>
      <x:c r="H16" s="167" t="str">
        <x:v>已核對觀看數</x:v>
      </x:c>
      <x:c r="I16" s="167" t="str">
        <x:v>https://www.youtube.com/watch?v=DURAKtkmZE4</x:v>
      </x:c>
      <x:c r="J16" s="179" t="str"/>
    </x:row>
    <x:row r="17" ht="45" customHeight="1">
      <x:c r="A17" s="178" t="str">
        <x:v>凱基股股漲</x:v>
      </x:c>
      <x:c r="B17" s="168" t="n">
        <x:v>46220</x:v>
      </x:c>
      <x:c r="C17" s="167" t="str">
        <x:v>第710集｜台積法說失靈 台股會步入韓股後塵？獲利配息有看頭 金融新劇本上演</x:v>
      </x:c>
      <x:c r="D17" s="169" t="n">
        <x:v>10000</x:v>
      </x:c>
      <x:c r="E17" s="170"/>
      <x:c r="F17" s="167" t="str">
        <x:v>約值（公開頁顯示 10K）</x:v>
      </x:c>
      <x:c r="G17" s="167" t="str">
        <x:v>未核到</x:v>
      </x:c>
      <x:c r="H17" s="167" t="str">
        <x:v>已核對觀看數</x:v>
      </x:c>
      <x:c r="I17" s="167" t="str">
        <x:v>https://www.youtube.com/@KGISIA.channel</x:v>
      </x:c>
      <x:c r="J17" s="179" t="str"/>
    </x:row>
    <x:row r="18" ht="45" customHeight="1">
      <x:c r="A18" s="178" t="str">
        <x:v>元大看盤室</x:v>
      </x:c>
      <x:c r="B18" s="168" t="n">
        <x:v>46199</x:v>
      </x:c>
      <x:c r="C18" s="167" t="str">
        <x:v>外資再砍1431億歷史第二大理由？全球二次通膨ING 科技產品淪陷！今教三大「逢低承接」技巧</x:v>
      </x:c>
      <x:c r="D18" s="169" t="n">
        <x:v>9600</x:v>
      </x:c>
      <x:c r="E18" s="170"/>
      <x:c r="F18" s="167" t="str">
        <x:v>公開索引約值；較早結果曾顯示 8.3K–8.4K</x:v>
      </x:c>
      <x:c r="G18" s="167" t="str">
        <x:v>未核到</x:v>
      </x:c>
      <x:c r="H18" s="167" t="str">
        <x:v>跨來源顯示差異</x:v>
      </x:c>
      <x:c r="I18" s="167" t="str">
        <x:v>https://www.youtube.com/@yuantachannel</x:v>
      </x:c>
      <x:c r="J18" s="179" t="str">
        <x:v>觀看數隨時間累積</x:v>
      </x:c>
    </x:row>
    <x:row r="19" ht="45" customHeight="1">
      <x:c r="A19" s="178" t="str">
        <x:v>元大看盤室</x:v>
      </x:c>
      <x:c r="B19" s="168" t="n">
        <x:v>46211</x:v>
      </x:c>
      <x:c r="C19" s="167" t="str">
        <x:v>股后換人當背後意義？台積電明發股息！再滾入？三情境教學！國內通膨壓力升 台股影響？</x:v>
      </x:c>
      <x:c r="D19" s="169" t="n">
        <x:v>6500</x:v>
      </x:c>
      <x:c r="E19" s="170" t="n">
        <x:v>0.018078703703703704</x:v>
      </x:c>
      <x:c r="F19" s="167" t="str">
        <x:v>跨來源約 4.8K–6.5K；取較新公開值</x:v>
      </x:c>
      <x:c r="G19" s="167" t="str">
        <x:v>YouTube 公開時長</x:v>
      </x:c>
      <x:c r="H19" s="167" t="str">
        <x:v>跨來源顯示差異</x:v>
      </x:c>
      <x:c r="I19" s="167" t="str">
        <x:v>https://www.youtube.com/@yuantachannel</x:v>
      </x:c>
      <x:c r="J19" s="179" t="str">
        <x:v>搜尋索引擷取時間不同</x:v>
      </x:c>
    </x:row>
    <x:row r="20" ht="45" customHeight="1">
      <x:c r="A20" s="178" t="str">
        <x:v>元大看盤室</x:v>
      </x:c>
      <x:c r="B20" s="168" t="n">
        <x:v>46217</x:v>
      </x:c>
      <x:c r="C20" s="167" t="str">
        <x:v>台股增量下跌 拉回是危機還是機會？真正該擔心的利空在哪？緊盯止跌關鍵訊號！</x:v>
      </x:c>
      <x:c r="D20" s="169" t="n">
        <x:v>5800</x:v>
      </x:c>
      <x:c r="E20" s="170"/>
      <x:c r="F20" s="167" t="str">
        <x:v>約值（公開索引）</x:v>
      </x:c>
      <x:c r="G20" s="167" t="str">
        <x:v>未核到</x:v>
      </x:c>
      <x:c r="H20" s="167" t="str">
        <x:v>已核對觀看數</x:v>
      </x:c>
      <x:c r="I20" s="167" t="str">
        <x:v>https://www.youtube.com/@yuantachannel</x:v>
      </x:c>
      <x:c r="J20" s="179" t="str"/>
    </x:row>
    <x:row r="21" ht="45" customHeight="1">
      <x:c r="A21" s="178" t="str">
        <x:v>元大看盤室</x:v>
      </x:c>
      <x:c r="B21" s="168" t="n">
        <x:v>46219</x:v>
      </x:c>
      <x:c r="C21" s="167" t="str">
        <x:v>台股小跌6點走穩必看一訊號！台積電Q2賺翻？為何ADR跌？台積電法說會法人在意的點在哪？</x:v>
      </x:c>
      <x:c r="D21" s="169" t="n">
        <x:v>13000</x:v>
      </x:c>
      <x:c r="E21" s="170"/>
      <x:c r="F21" s="167" t="str">
        <x:v>約值（公開頁顯示 13K）</x:v>
      </x:c>
      <x:c r="G21" s="167" t="str">
        <x:v>未核到</x:v>
      </x:c>
      <x:c r="H21" s="167" t="str">
        <x:v>已核對觀看數</x:v>
      </x:c>
      <x:c r="I21" s="167" t="str">
        <x:v>https://www.youtube.com/@yuantachannel</x:v>
      </x:c>
      <x:c r="J21" s="179" t="str"/>
    </x:row>
    <x:row r="22" ht="45" customHeight="1">
      <x:c r="A22" s="178" t="str">
        <x:v>元大看盤室</x:v>
      </x:c>
      <x:c r="B22" s="168" t="n">
        <x:v>46223</x:v>
      </x:c>
      <x:c r="C22" s="167" t="str">
        <x:v>關稅到期日將至 對台股未來影響？櫃買一度失守季線 台股止跌條件？從高價股觀察資金動向！</x:v>
      </x:c>
      <x:c r="D22" s="169" t="n">
        <x:v>2600</x:v>
      </x:c>
      <x:c r="E22" s="170"/>
      <x:c r="F22" s="167" t="str">
        <x:v>約值（公開頁顯示 2.6K）</x:v>
      </x:c>
      <x:c r="G22" s="167" t="str">
        <x:v>未核到</x:v>
      </x:c>
      <x:c r="H22" s="167" t="str">
        <x:v>已核對觀看數</x:v>
      </x:c>
      <x:c r="I22" s="167" t="str">
        <x:v>https://www.youtube.com/watch?v=78MEEjslAIg</x:v>
      </x:c>
      <x:c r="J22" s="179" t="str">
        <x:v>上架時間較短</x:v>
      </x:c>
    </x:row>
    <x:row r="23" ht="45" customHeight="1">
      <x:c r="A23" s="178" t="str">
        <x:v>永豐直播｜今天Shot這盤</x:v>
      </x:c>
      <x:c r="B23" s="168" t="n">
        <x:v>46195</x:v>
      </x:c>
      <x:c r="C23" s="167" t="str">
        <x:v>FOMC釋偏鷹訊號！台美股休市後尋求高檔支撐，外本比排行：鈞寶、鼎元、臺慶科</x:v>
      </x:c>
      <x:c r="D23" s="169" t="n">
        <x:v>4500</x:v>
      </x:c>
      <x:c r="E23" s="170"/>
      <x:c r="F23" s="167" t="str">
        <x:v>約值（公開頁顯示 4.5K）</x:v>
      </x:c>
      <x:c r="G23" s="167" t="str">
        <x:v>未核到</x:v>
      </x:c>
      <x:c r="H23" s="167" t="str">
        <x:v>已核對觀看數</x:v>
      </x:c>
      <x:c r="I23" s="167" t="str">
        <x:v>https://www.youtube.com/watch?v=dHfocLdB308</x:v>
      </x:c>
      <x:c r="J23" s="179" t="str"/>
    </x:row>
    <x:row r="24" ht="45" customHeight="1">
      <x:c r="A24" s="178" t="str">
        <x:v>永豐直播｜今天Shot這盤</x:v>
      </x:c>
      <x:c r="B24" s="168" t="n">
        <x:v>46197</x:v>
      </x:c>
      <x:c r="C24" s="167" t="str">
        <x:v>《今天Shot這盤》2026/06/24（公開索引未顯示完整標題）</x:v>
      </x:c>
      <x:c r="D24" s="169" t="n">
        <x:v>1900</x:v>
      </x:c>
      <x:c r="E24" s="170" t="n">
        <x:v>0.020462962962962964</x:v>
      </x:c>
      <x:c r="F24" s="167" t="str">
        <x:v>約值（公開頁顯示 1.9K）</x:v>
      </x:c>
      <x:c r="G24" s="167" t="str">
        <x:v>YouTube 公開時長</x:v>
      </x:c>
      <x:c r="H24" s="167" t="str">
        <x:v>已核對</x:v>
      </x:c>
      <x:c r="I24" s="167" t="str">
        <x:v>https://www.youtube.com/@SinoEC/streams</x:v>
      </x:c>
      <x:c r="J24" s="179" t="str"/>
    </x:row>
    <x:row r="25" ht="45" customHeight="1">
      <x:c r="A25" s="178" t="str">
        <x:v>永豐直播｜今天Shot這盤</x:v>
      </x:c>
      <x:c r="B25" s="168" t="n">
        <x:v>46209</x:v>
      </x:c>
      <x:c r="C25" s="167" t="str">
        <x:v>外資狂砍台積電305億（公開索引標題截斷）</x:v>
      </x:c>
      <x:c r="D25" s="169" t="n">
        <x:v>3000</x:v>
      </x:c>
      <x:c r="E25" s="170"/>
      <x:c r="F25" s="167" t="str">
        <x:v>約值（公開頁顯示 3K）</x:v>
      </x:c>
      <x:c r="G25" s="167" t="str">
        <x:v>未核到</x:v>
      </x:c>
      <x:c r="H25" s="167" t="str">
        <x:v>已核對觀看數</x:v>
      </x:c>
      <x:c r="I25" s="167" t="str">
        <x:v>https://www.youtube.com/watch?v=q-XZ4Ckw3kA</x:v>
      </x:c>
      <x:c r="J25" s="179" t="str"/>
    </x:row>
    <x:row r="26" ht="45" customHeight="1">
      <x:c r="A26" s="178" t="str">
        <x:v>永豐直播｜今天Shot這盤</x:v>
      </x:c>
      <x:c r="B26" s="168" t="n">
        <x:v>46210</x:v>
      </x:c>
      <x:c r="C26" s="167" t="str">
        <x:v>功率半導體四雄（公開索引標題截斷）</x:v>
      </x:c>
      <x:c r="D26" s="169" t="n">
        <x:v>2300</x:v>
      </x:c>
      <x:c r="E26" s="170"/>
      <x:c r="F26" s="167" t="str">
        <x:v>約值（公開頁顯示 2.3K）</x:v>
      </x:c>
      <x:c r="G26" s="167" t="str">
        <x:v>未核到</x:v>
      </x:c>
      <x:c r="H26" s="167" t="str">
        <x:v>已核對觀看數</x:v>
      </x:c>
      <x:c r="I26" s="167" t="str">
        <x:v>https://www.youtube.com/watch?v=KtoS6PP0d5s</x:v>
      </x:c>
      <x:c r="J26" s="179" t="str"/>
    </x:row>
    <x:row r="27" ht="45" customHeight="1">
      <x:c r="A27" s="178" t="str">
        <x:v>永豐直播｜今天Shot這盤</x:v>
      </x:c>
      <x:c r="B27" s="168" t="n">
        <x:v>46211</x:v>
      </x:c>
      <x:c r="C27" s="167" t="str">
        <x:v>美股科技泡沫警訊（公開索引標題截斷）</x:v>
      </x:c>
      <x:c r="D27" s="169" t="n">
        <x:v>2600</x:v>
      </x:c>
      <x:c r="E27" s="170"/>
      <x:c r="F27" s="167" t="str">
        <x:v>約值（公開頁顯示 2.6K）</x:v>
      </x:c>
      <x:c r="G27" s="167" t="str">
        <x:v>未核到</x:v>
      </x:c>
      <x:c r="H27" s="167" t="str">
        <x:v>已核對觀看數</x:v>
      </x:c>
      <x:c r="I27" s="167" t="str">
        <x:v>https://www.youtube.com/watch?v=sJcAuTrKQWc</x:v>
      </x:c>
      <x:c r="J27" s="179" t="str"/>
    </x:row>
    <x:row r="28" ht="45" customHeight="1">
      <x:c r="A28" s="178" t="str">
        <x:v>永豐直播｜今天Shot這盤</x:v>
      </x:c>
      <x:c r="B28" s="168" t="n">
        <x:v>46216</x:v>
      </x:c>
      <x:c r="C28" s="167" t="str">
        <x:v>費半狂飆7%助攻台股千點大反撲（公開索引標題截斷）</x:v>
      </x:c>
      <x:c r="D28" s="169" t="n">
        <x:v>2000</x:v>
      </x:c>
      <x:c r="E28" s="170"/>
      <x:c r="F28" s="167" t="str">
        <x:v>約值（公開頁顯示 2K）</x:v>
      </x:c>
      <x:c r="G28" s="167" t="str">
        <x:v>未核到</x:v>
      </x:c>
      <x:c r="H28" s="167" t="str">
        <x:v>已核對觀看數</x:v>
      </x:c>
      <x:c r="I28" s="167" t="str">
        <x:v>https://www.youtube.com/watch?v=Qiew4fjABbI</x:v>
      </x:c>
      <x:c r="J28" s="179" t="str"/>
    </x:row>
    <x:row r="29" ht="45" customHeight="1">
      <x:c r="A29" s="178" t="str">
        <x:v>永豐直播｜今天Shot這盤</x:v>
      </x:c>
      <x:c r="B29" s="168" t="n">
        <x:v>46219</x:v>
      </x:c>
      <x:c r="C29" s="167" t="str">
        <x:v>台股反彈893點（公開索引標題截斷）</x:v>
      </x:c>
      <x:c r="D29" s="169" t="n">
        <x:v>1800</x:v>
      </x:c>
      <x:c r="E29" s="170"/>
      <x:c r="F29" s="167" t="str">
        <x:v>約值（公開頁顯示 1.8K）</x:v>
      </x:c>
      <x:c r="G29" s="167" t="str">
        <x:v>未核到</x:v>
      </x:c>
      <x:c r="H29" s="167" t="str">
        <x:v>已核對觀看數</x:v>
      </x:c>
      <x:c r="I29" s="167" t="str">
        <x:v>https://www.youtube.com/watch?v=m8aXrz0vFj0</x:v>
      </x:c>
      <x:c r="J29" s="179" t="str"/>
    </x:row>
    <x:row r="30" ht="45" customHeight="1">
      <x:c r="A30" s="178" t="str">
        <x:v>永豐直播｜今天Shot這盤</x:v>
      </x:c>
      <x:c r="B30" s="168" t="n">
        <x:v>46220</x:v>
      </x:c>
      <x:c r="C30" s="167" t="str">
        <x:v>台積電法說大盤如何解讀？加權量縮收平！台指夜盤殺近千點？自行車族群迎春強攻！</x:v>
      </x:c>
      <x:c r="D30" s="169" t="n">
        <x:v>1000</x:v>
      </x:c>
      <x:c r="E30" s="170"/>
      <x:c r="F30" s="167" t="str">
        <x:v>約值（公開頁顯示 1K）</x:v>
      </x:c>
      <x:c r="G30" s="167" t="str">
        <x:v>未核到</x:v>
      </x:c>
      <x:c r="H30" s="167" t="str">
        <x:v>已核對觀看數</x:v>
      </x:c>
      <x:c r="I30" s="167" t="str">
        <x:v>https://www.youtube.com/watch?v=o6ywOwzgtTs</x:v>
      </x:c>
      <x:c r="J30" s="179" t="str"/>
    </x:row>
    <x:row r="31" ht="45" customHeight="1">
      <x:c r="A31" s="180" t="str">
        <x:v>永豐直播｜今天Shot這盤</x:v>
      </x:c>
      <x:c r="B31" s="181" t="n">
        <x:v>46223</x:v>
      </x:c>
      <x:c r="C31" s="182" t="str">
        <x:v>史上最大崩盤！台股狂瀉2,953點引爆歷史性恐慌，營收創高模範生：千附、台塑化</x:v>
      </x:c>
      <x:c r="D31" s="183" t="n">
        <x:v>2400</x:v>
      </x:c>
      <x:c r="E31" s="184"/>
      <x:c r="F31" s="182" t="str">
        <x:v>約值（公開頁顯示 2.4K）</x:v>
      </x:c>
      <x:c r="G31" s="182" t="str">
        <x:v>未核到</x:v>
      </x:c>
      <x:c r="H31" s="182" t="str">
        <x:v>已核對觀看數</x:v>
      </x:c>
      <x:c r="I31" s="182" t="str">
        <x:v>https://www.youtube.com/watch?v=jmlyHuNJedU</x:v>
      </x:c>
      <x:c r="J31" s="185" t="str">
        <x:v>上架時間較短</x:v>
      </x:c>
    </x:row>
  </x:sheetData>
  <x:conditionalFormatting sqref="D2:D31">
    <x:cfRule type="dataBar" priority="1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{0A697C1E-53BC-E912-590C-B902A917CFAA}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940680340014b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697C1E-53BC-E912-590C-B902A917CFAA}">
            <x14:dataBar gradient="1">
              <x14:cfvo type="min"/>
              <x14:cfvo type="max"/>
              <x14:fillColor rgb="FF0E7490"/>
            </x14:dataBar>
          </x14:cfRule>
          <xm:sqref>D2:D31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9" hidden="0" customWidth="1"/>
    <x:col min="4" max="4" width="58" hidden="0" customWidth="1"/>
    <x:col min="5" max="5" width="15" hidden="0" customWidth="1"/>
    <x:col min="6" max="6" width="11" hidden="0" customWidth="1"/>
    <x:col min="7" max="7" width="33" hidden="0" customWidth="1"/>
    <x:col min="8" max="8" width="24" hidden="0" customWidth="1"/>
    <x:col min="9" max="9" width="42" hidden="0" customWidth="1"/>
    <x:col min="10" max="10" width="28" hidden="0" customWidth="1"/>
  </x:cols>
  <x:sheetData>
    <x:row r="1" ht="30" customHeight="1">
      <x:c r="A1" s="175" t="str">
        <x:v>節目</x:v>
      </x:c>
      <x:c r="B1" s="176" t="str">
        <x:v>日期</x:v>
      </x:c>
      <x:c r="C1" s="176" t="str">
        <x:v>集數</x:v>
      </x:c>
      <x:c r="D1" s="176" t="str">
        <x:v>標題</x:v>
      </x:c>
      <x:c r="E1" s="176" t="str">
        <x:v>觀看數（約）</x:v>
      </x:c>
      <x:c r="F1" s="176" t="str">
        <x:v>時長</x:v>
      </x:c>
      <x:c r="G1" s="176" t="str">
        <x:v>觀看數資料狀態</x:v>
      </x:c>
      <x:c r="H1" s="176" t="str">
        <x:v>時長資料狀態</x:v>
      </x:c>
      <x:c r="I1" s="176" t="str">
        <x:v>來源 URL</x:v>
      </x:c>
      <x:c r="J1" s="177" t="str">
        <x:v>備註</x:v>
      </x:c>
    </x:row>
    <x:row r="2" ht="45" customHeight="1">
      <x:c r="A2" s="178" t="str">
        <x:v>游庭皓｜早晨財經速解讀</x:v>
      </x:c>
      <x:c r="B2" s="168" t="n">
        <x:v>46195</x:v>
      </x:c>
      <x:c r="C2" s="167" t="str"/>
      <x:c r="D2" s="167" t="str">
        <x:v>美伊和平協議簽得動？油價續跌透玄機？台積衝新高五萬點來了？</x:v>
      </x:c>
      <x:c r="E2" s="169" t="n">
        <x:v>142000</x:v>
      </x:c>
      <x:c r="F2" s="170" t="n">
        <x:v>0.024837962962962964</x:v>
      </x:c>
      <x:c r="G2" s="167" t="str">
        <x:v>約值（公開頁顯示 142K）</x:v>
      </x:c>
      <x:c r="H2" s="167" t="str">
        <x:v>YouTube 公開時長</x:v>
      </x:c>
      <x:c r="I2" s="167" t="str">
        <x:v>https://www.youtube.com/watch?v=F-aMpfktiog</x:v>
      </x:c>
      <x:c r="J2" s="179" t="str">
        <x:v>觀看數為公開頁累積值</x:v>
      </x:c>
    </x:row>
    <x:row r="3" ht="45" customHeight="1">
      <x:c r="A3" s="178" t="str">
        <x:v>游庭皓｜早晨財經速解讀</x:v>
      </x:c>
      <x:c r="B3" s="168" t="n">
        <x:v>46196</x:v>
      </x:c>
      <x:c r="C3" s="167" t="str"/>
      <x:c r="D3" s="167" t="str">
        <x:v>資金大輪動 台股衝五萬！SpaceX重挫！散戶被坑了？</x:v>
      </x:c>
      <x:c r="E3" s="169" t="n">
        <x:v>173000</x:v>
      </x:c>
      <x:c r="F3" s="170"/>
      <x:c r="G3" s="167" t="str">
        <x:v>約值（公開頁顯示 173K）</x:v>
      </x:c>
      <x:c r="H3" s="167" t="str">
        <x:v>未核到</x:v>
      </x:c>
      <x:c r="I3" s="167" t="str">
        <x:v>https://www.youtube.com/watch?v=ZOaJ61xMrhM</x:v>
      </x:c>
      <x:c r="J3" s="179" t="str"/>
    </x:row>
    <x:row r="4" ht="45" customHeight="1">
      <x:c r="A4" s="178" t="str">
        <x:v>游庭皓｜早晨財經速解讀</x:v>
      </x:c>
      <x:c r="B4" s="168" t="n">
        <x:v>46197</x:v>
      </x:c>
      <x:c r="C4" s="167" t="str"/>
      <x:c r="D4" s="167" t="str">
        <x:v>記憶體亂流 AI踩剎車？韓股槓桿連環爆 回檔驗信仰？</x:v>
      </x:c>
      <x:c r="E4" s="169" t="n">
        <x:v>156000</x:v>
      </x:c>
      <x:c r="F4" s="170" t="n">
        <x:v>0.024328703703703703</x:v>
      </x:c>
      <x:c r="G4" s="167" t="str">
        <x:v>約值（公開頁顯示 156K）</x:v>
      </x:c>
      <x:c r="H4" s="167" t="str">
        <x:v>YouTube 公開時長</x:v>
      </x:c>
      <x:c r="I4" s="167" t="str">
        <x:v>https://www.youtube.com/watch?v=2Z9hMGktBDU</x:v>
      </x:c>
      <x:c r="J4" s="179" t="str"/>
    </x:row>
    <x:row r="5" ht="45" customHeight="1">
      <x:c r="A5" s="178" t="str">
        <x:v>游庭皓｜早晨財經速解讀</x:v>
      </x:c>
      <x:c r="B5" s="168" t="n">
        <x:v>46198</x:v>
      </x:c>
      <x:c r="C5" s="167" t="str"/>
      <x:c r="D5" s="167" t="str">
        <x:v>美光報喜 外資狂賣 內資接得住？金銀油、比特幣重挫 流動性告急？</x:v>
      </x:c>
      <x:c r="E5" s="169" t="n">
        <x:v>150000</x:v>
      </x:c>
      <x:c r="F5" s="170" t="n">
        <x:v>0.02361111111111111</x:v>
      </x:c>
      <x:c r="G5" s="167" t="str">
        <x:v>約值（公開頁顯示 150K）</x:v>
      </x:c>
      <x:c r="H5" s="167" t="str">
        <x:v>YouTube 公開時長</x:v>
      </x:c>
      <x:c r="I5" s="167" t="str">
        <x:v>https://www.youtube.com/watch?v=IMOmns5Ii4Q</x:v>
      </x:c>
      <x:c r="J5" s="179" t="str"/>
    </x:row>
    <x:row r="6" ht="45" customHeight="1">
      <x:c r="A6" s="178" t="str">
        <x:v>游庭皓｜早晨財經速解讀</x:v>
      </x:c>
      <x:c r="B6" s="168" t="n">
        <x:v>46199</x:v>
      </x:c>
      <x:c r="C6" s="167" t="str"/>
      <x:c r="D6" s="167" t="str">
        <x:v>蘋果漲價潮！通膨擋不住？美中科技戰 衝擊巨頭估值？</x:v>
      </x:c>
      <x:c r="E6" s="169"/>
      <x:c r="F6" s="170"/>
      <x:c r="G6" s="167" t="str">
        <x:v>公開索引未核到穩定觀看數</x:v>
      </x:c>
      <x:c r="H6" s="167" t="str">
        <x:v>公開索引未核到時長</x:v>
      </x:c>
      <x:c r="I6" s="167" t="str">
        <x:v>https://www.youtube.com/watch?v=Z7U5YQRlz68</x:v>
      </x:c>
      <x:c r="J6" s="179" t="str"/>
    </x:row>
    <x:row r="7" ht="45" customHeight="1">
      <x:c r="A7" s="178" t="str">
        <x:v>游庭皓｜早晨財經速解讀</x:v>
      </x:c>
      <x:c r="B7" s="168" t="n">
        <x:v>46202</x:v>
      </x:c>
      <x:c r="C7" s="167" t="str"/>
      <x:c r="D7" s="167" t="str">
        <x:v>七巨頭行情結束？AI進入選股時代 美伊再互轟 急跌是買點？</x:v>
      </x:c>
      <x:c r="E7" s="169"/>
      <x:c r="F7" s="170"/>
      <x:c r="G7" s="167" t="str">
        <x:v>公開索引未核到穩定觀看數</x:v>
      </x:c>
      <x:c r="H7" s="167" t="str">
        <x:v>公開索引未核到時長</x:v>
      </x:c>
      <x:c r="I7" s="167" t="str">
        <x:v>https://www.youtube.com/watch?v=9_PFi331Vf0</x:v>
      </x:c>
      <x:c r="J7" s="179" t="str"/>
    </x:row>
    <x:row r="8" ht="45" customHeight="1">
      <x:c r="A8" s="178" t="str">
        <x:v>游庭皓｜早晨財經速解讀</x:v>
      </x:c>
      <x:c r="B8" s="168" t="n">
        <x:v>46203</x:v>
      </x:c>
      <x:c r="C8" s="167" t="str"/>
      <x:c r="D8" s="167" t="str">
        <x:v>韓國推AI國家隊 全球政府撐泡沫？台股回神 V轉上五萬？</x:v>
      </x:c>
      <x:c r="E8" s="169"/>
      <x:c r="F8" s="170"/>
      <x:c r="G8" s="167" t="str">
        <x:v>公開索引未核到穩定觀看數</x:v>
      </x:c>
      <x:c r="H8" s="167" t="str">
        <x:v>公開索引未核到時長</x:v>
      </x:c>
      <x:c r="I8" s="167" t="str">
        <x:v>https://www.youtube.com/watch?v=tUJHLVjwvik</x:v>
      </x:c>
      <x:c r="J8" s="179" t="str"/>
    </x:row>
    <x:row r="9" ht="45" customHeight="1">
      <x:c r="A9" s="178" t="str">
        <x:v>游庭皓｜早晨財經速解讀</x:v>
      </x:c>
      <x:c r="B9" s="168" t="n">
        <x:v>46204</x:v>
      </x:c>
      <x:c r="C9" s="167" t="str"/>
      <x:c r="D9" s="167" t="str">
        <x:v>2026晶片股狂潮 道瓊創史高 下半年換誰？中日稀土戰 醞釀漲價潮？</x:v>
      </x:c>
      <x:c r="E9" s="169"/>
      <x:c r="F9" s="170"/>
      <x:c r="G9" s="167" t="str">
        <x:v>公開索引未核到穩定觀看數</x:v>
      </x:c>
      <x:c r="H9" s="167" t="str">
        <x:v>公開索引未核到時長</x:v>
      </x:c>
      <x:c r="I9" s="167" t="str">
        <x:v>https://www.youtube.com/watch?v=ENvg_6WIu6Y</x:v>
      </x:c>
      <x:c r="J9" s="179" t="str"/>
    </x:row>
    <x:row r="10" ht="45" customHeight="1">
      <x:c r="A10" s="178" t="str">
        <x:v>游庭皓｜早晨財經速解讀</x:v>
      </x:c>
      <x:c r="B10" s="168" t="n">
        <x:v>46205</x:v>
      </x:c>
      <x:c r="C10" s="167" t="str"/>
      <x:c r="D10" s="167" t="str">
        <x:v>AI投資進挑選時代 不再閉眼買就會漲？</x:v>
      </x:c>
      <x:c r="E10" s="169"/>
      <x:c r="F10" s="170"/>
      <x:c r="G10" s="167" t="str">
        <x:v>公開索引未核到穩定觀看數</x:v>
      </x:c>
      <x:c r="H10" s="167" t="str">
        <x:v>公開索引未核到時長</x:v>
      </x:c>
      <x:c r="I10" s="167" t="str">
        <x:v>https://www.youtube.com/watch?v=m63qGxdXYz8</x:v>
      </x:c>
      <x:c r="J10" s="179" t="str"/>
    </x:row>
    <x:row r="11" ht="45" customHeight="1">
      <x:c r="A11" s="178" t="str">
        <x:v>游庭皓｜早晨財經速解讀</x:v>
      </x:c>
      <x:c r="B11" s="168" t="n">
        <x:v>46206</x:v>
      </x:c>
      <x:c r="C11" s="167" t="str"/>
      <x:c r="D11" s="167" t="str">
        <x:v>川普晶圓夢 又點台積電？非農降溫 通膨下得去？</x:v>
      </x:c>
      <x:c r="E11" s="169"/>
      <x:c r="F11" s="170"/>
      <x:c r="G11" s="167" t="str">
        <x:v>公開索引未核到穩定觀看數</x:v>
      </x:c>
      <x:c r="H11" s="167" t="str">
        <x:v>公開索引未核到時長</x:v>
      </x:c>
      <x:c r="I11" s="167" t="str">
        <x:v>https://www.youtube.com/watch?v=wQ9YZ1U2bcY</x:v>
      </x:c>
      <x:c r="J11" s="179" t="str"/>
    </x:row>
    <x:row r="12" ht="45" customHeight="1">
      <x:c r="A12" s="178" t="str">
        <x:v>游庭皓｜早晨財經速解讀</x:v>
      </x:c>
      <x:c r="B12" s="168" t="n">
        <x:v>46209</x:v>
      </x:c>
      <x:c r="C12" s="167" t="str"/>
      <x:c r="D12" s="167" t="str">
        <x:v>Token成本下行 AI投資出警訊？股價重挫 記憶體見頂？</x:v>
      </x:c>
      <x:c r="E12" s="169"/>
      <x:c r="F12" s="170"/>
      <x:c r="G12" s="167" t="str">
        <x:v>公開索引未核到穩定觀看數</x:v>
      </x:c>
      <x:c r="H12" s="167" t="str">
        <x:v>公開索引未核到時長</x:v>
      </x:c>
      <x:c r="I12" s="167" t="str">
        <x:v>https://www.youtube.com/watch?v=-VFQHTRVBws</x:v>
      </x:c>
      <x:c r="J12" s="179" t="str"/>
    </x:row>
    <x:row r="13" ht="45" customHeight="1">
      <x:c r="A13" s="178" t="str">
        <x:v>游庭皓｜早晨財經速解讀</x:v>
      </x:c>
      <x:c r="B13" s="168" t="n">
        <x:v>46210</x:v>
      </x:c>
      <x:c r="C13" s="167" t="str"/>
      <x:c r="D13" s="167" t="str">
        <x:v>道瓊再創高 散戶歸隊？大賣空貝瑞狙擊美光 修正來了嗎？</x:v>
      </x:c>
      <x:c r="E13" s="169"/>
      <x:c r="F13" s="170"/>
      <x:c r="G13" s="167" t="str">
        <x:v>公開索引未核到穩定觀看數</x:v>
      </x:c>
      <x:c r="H13" s="167" t="str">
        <x:v>公開索引未核到時長</x:v>
      </x:c>
      <x:c r="I13" s="167" t="str">
        <x:v>https://www.youtube.com/watch?v=vkwgbSsMB2A</x:v>
      </x:c>
      <x:c r="J13" s="179" t="str"/>
    </x:row>
    <x:row r="14" ht="45" customHeight="1">
      <x:c r="A14" s="178" t="str">
        <x:v>游庭皓｜早晨財經速解讀</x:v>
      </x:c>
      <x:c r="B14" s="168" t="n">
        <x:v>46211</x:v>
      </x:c>
      <x:c r="C14" s="167" t="str"/>
      <x:c r="D14" s="167" t="str">
        <x:v>三星一季賺贏三年！晶片股卻殺盤 利多出盡？</x:v>
      </x:c>
      <x:c r="E14" s="169" t="n">
        <x:v>123000</x:v>
      </x:c>
      <x:c r="F14" s="170" t="n">
        <x:v>0.021527777777777778</x:v>
      </x:c>
      <x:c r="G14" s="167" t="str">
        <x:v>約值（公開索引）</x:v>
      </x:c>
      <x:c r="H14" s="167" t="str">
        <x:v>同步頁約值</x:v>
      </x:c>
      <x:c r="I14" s="167" t="str">
        <x:v>https://www.youtube.com/watch?v=SqtWyR-vASQ</x:v>
      </x:c>
      <x:c r="J14" s="179" t="str"/>
    </x:row>
    <x:row r="15" ht="45" customHeight="1">
      <x:c r="A15" s="178" t="str">
        <x:v>游庭皓｜早晨財經速解讀</x:v>
      </x:c>
      <x:c r="B15" s="168" t="n">
        <x:v>46212</x:v>
      </x:c>
      <x:c r="C15" s="167" t="str"/>
      <x:c r="D15" s="167" t="str">
        <x:v>標普七成科技股入熊市 現在是買股好時機？中國放行H200 輝達再衝刺？</x:v>
      </x:c>
      <x:c r="E15" s="169"/>
      <x:c r="F15" s="170"/>
      <x:c r="G15" s="167" t="str">
        <x:v>公開索引未核到穩定觀看數</x:v>
      </x:c>
      <x:c r="H15" s="167" t="str">
        <x:v>公開索引未核到時長</x:v>
      </x:c>
      <x:c r="I15" s="167" t="str">
        <x:v>https://www.youtube.com/watch?v=yl-S5OVnu2o</x:v>
      </x:c>
      <x:c r="J15" s="179" t="str"/>
    </x:row>
    <x:row r="16" ht="45" customHeight="1">
      <x:c r="A16" s="178" t="str">
        <x:v>游庭皓｜早晨財經速解讀</x:v>
      </x:c>
      <x:c r="B16" s="168" t="n">
        <x:v>46216</x:v>
      </x:c>
      <x:c r="C16" s="167" t="str"/>
      <x:c r="D16" s="167" t="str">
        <x:v>油價再升溫 海力士掛牌大漲！華爾街為何幾乎沒有人看空？</x:v>
      </x:c>
      <x:c r="E16" s="169" t="n">
        <x:v>139000</x:v>
      </x:c>
      <x:c r="F16" s="170" t="n">
        <x:v>0.02133101851851852</x:v>
      </x:c>
      <x:c r="G16" s="167" t="str">
        <x:v>跨來源約 130K–139K；取較新公開值</x:v>
      </x:c>
      <x:c r="H16" s="167" t="str">
        <x:v>YouTube 公開時長</x:v>
      </x:c>
      <x:c r="I16" s="167" t="str">
        <x:v>https://www.youtube.com/watch?v=n0sH57wGfU0</x:v>
      </x:c>
      <x:c r="J16" s="179" t="str">
        <x:v>搜尋索引擷取時間不同</x:v>
      </x:c>
    </x:row>
    <x:row r="17" ht="45" customHeight="1">
      <x:c r="A17" s="178" t="str">
        <x:v>游庭皓｜早晨財經速解讀</x:v>
      </x:c>
      <x:c r="B17" s="168" t="n">
        <x:v>46217</x:v>
      </x:c>
      <x:c r="C17" s="167" t="str"/>
      <x:c r="D17" s="167" t="str">
        <x:v>海峽又封鎖！買點到了？熔斷變日常 記憶體殺盤來了？</x:v>
      </x:c>
      <x:c r="E17" s="169" t="n">
        <x:v>133000</x:v>
      </x:c>
      <x:c r="F17" s="170" t="n">
        <x:v>0.02185185185185185</x:v>
      </x:c>
      <x:c r="G17" s="167" t="str">
        <x:v>約值（公開頁顯示 133K）</x:v>
      </x:c>
      <x:c r="H17" s="167" t="str">
        <x:v>YouTube 公開時長</x:v>
      </x:c>
      <x:c r="I17" s="167" t="str">
        <x:v>https://www.youtube.com/watch?v=K7uzlljSjCc</x:v>
      </x:c>
      <x:c r="J17" s="179" t="str"/>
    </x:row>
    <x:row r="18" ht="45" customHeight="1">
      <x:c r="A18" s="178" t="str">
        <x:v>游庭皓｜早晨財經速解讀</x:v>
      </x:c>
      <x:c r="B18" s="168" t="n">
        <x:v>46218</x:v>
      </x:c>
      <x:c r="C18" s="167" t="str"/>
      <x:c r="D18" s="167" t="str">
        <x:v>股市大怒神？海力士狂飆 IBM大崩 通膨降溫 回調結束了？</x:v>
      </x:c>
      <x:c r="E18" s="169"/>
      <x:c r="F18" s="170"/>
      <x:c r="G18" s="167" t="str">
        <x:v>公開索引未核到穩定觀看數</x:v>
      </x:c>
      <x:c r="H18" s="167" t="str">
        <x:v>公開索引未核到時長</x:v>
      </x:c>
      <x:c r="I18" s="167" t="str">
        <x:v>https://www.youtube.com/watch?v=raHycpE_6Z4</x:v>
      </x:c>
      <x:c r="J18" s="179" t="str"/>
    </x:row>
    <x:row r="19" ht="45" customHeight="1">
      <x:c r="A19" s="178" t="str">
        <x:v>游庭皓｜早晨財經速解讀</x:v>
      </x:c>
      <x:c r="B19" s="168" t="n">
        <x:v>46219</x:v>
      </x:c>
      <x:c r="C19" s="167" t="str"/>
      <x:c r="D19" s="167" t="str">
        <x:v>AI狂熱失控 違約交割潮？AI發巨債 市場吃得下？</x:v>
      </x:c>
      <x:c r="E19" s="169" t="n">
        <x:v>168000</x:v>
      </x:c>
      <x:c r="F19" s="170" t="n">
        <x:v>0.02457175925925926</x:v>
      </x:c>
      <x:c r="G19" s="167" t="str">
        <x:v>跨來源約 134K–168K；取較新公開值</x:v>
      </x:c>
      <x:c r="H19" s="167" t="str">
        <x:v>同步頁精確值</x:v>
      </x:c>
      <x:c r="I19" s="167" t="str">
        <x:v>https://www.youtube.com/watch?v=EyDBTfobiQk</x:v>
      </x:c>
      <x:c r="J19" s="179" t="str">
        <x:v>搜尋索引擷取時間不同</x:v>
      </x:c>
    </x:row>
    <x:row r="20" ht="45" customHeight="1">
      <x:c r="A20" s="178" t="str">
        <x:v>游庭皓｜早晨財經速解讀</x:v>
      </x:c>
      <x:c r="B20" s="168" t="n">
        <x:v>46220</x:v>
      </x:c>
      <x:c r="C20" s="167" t="str"/>
      <x:c r="D20" s="167" t="str">
        <x:v>半導體入熊市 資金輪動還是泡沫破滅？台積大擴廠 利多卻重挫？</x:v>
      </x:c>
      <x:c r="E20" s="169"/>
      <x:c r="F20" s="170"/>
      <x:c r="G20" s="167" t="str">
        <x:v>公開索引未核到穩定觀看數</x:v>
      </x:c>
      <x:c r="H20" s="167" t="str">
        <x:v>公開索引未核到時長</x:v>
      </x:c>
      <x:c r="I20" s="167" t="str">
        <x:v>https://www.youtube.com/watch?v=rQijt4k7pq4</x:v>
      </x:c>
      <x:c r="J20" s="179" t="str"/>
    </x:row>
    <x:row r="21" ht="45" customHeight="1">
      <x:c r="A21" s="178" t="str">
        <x:v>游庭皓｜早晨財經速解讀</x:v>
      </x:c>
      <x:c r="B21" s="168" t="n">
        <x:v>46223</x:v>
      </x:c>
      <x:c r="C21" s="167" t="str"/>
      <x:c r="D21" s="167" t="str">
        <x:v>費半入熊 AI牛市結束？槓桿爆倉 買點又到了？Kimi K3震撼AI市場</x:v>
      </x:c>
      <x:c r="E21" s="169" t="n">
        <x:v>150000</x:v>
      </x:c>
      <x:c r="F21" s="170" t="n">
        <x:v>0.023726851851851853</x:v>
      </x:c>
      <x:c r="G21" s="167" t="str">
        <x:v>約值（公開頁顯示 150K）</x:v>
      </x:c>
      <x:c r="H21" s="167" t="str">
        <x:v>同步頁精確值</x:v>
      </x:c>
      <x:c r="I21" s="167" t="str">
        <x:v>https://www.youtube.com/watch?v=iE03-xLfFwU</x:v>
      </x:c>
      <x:c r="J21" s="179" t="str"/>
    </x:row>
    <x:row r="22" ht="45" customHeight="1">
      <x:c r="A22" s="178" t="str">
        <x:v>凱基股股漲</x:v>
      </x:c>
      <x:c r="B22" s="168" t="n">
        <x:v>46195</x:v>
      </x:c>
      <x:c r="C22" s="167" t="str">
        <x:v>#692</x:v>
      </x:c>
      <x:c r="D22" s="167" t="str">
        <x:v>AI撐住基本面跟隨資金來挑股 先進製程演進引爆AOI設備採購潮</x:v>
      </x:c>
      <x:c r="E22" s="169"/>
      <x:c r="F22" s="170"/>
      <x:c r="G22" s="167" t="str">
        <x:v>公開索引未核到穩定觀看數</x:v>
      </x:c>
      <x:c r="H22" s="167" t="str">
        <x:v>公開索引未核到時長</x:v>
      </x:c>
      <x:c r="I22" s="167" t="str">
        <x:v>https://www.youtube.com/@KGISIA.channel</x:v>
      </x:c>
      <x:c r="J22" s="179" t="str"/>
    </x:row>
    <x:row r="23" ht="45" customHeight="1">
      <x:c r="A23" s="178" t="str">
        <x:v>凱基股股漲</x:v>
      </x:c>
      <x:c r="B23" s="168" t="n">
        <x:v>46196</x:v>
      </x:c>
      <x:c r="C23" s="167" t="str">
        <x:v>#693</x:v>
      </x:c>
      <x:c r="D23" s="167" t="str">
        <x:v>AI投資熱潮…五萬點可期？光通訊晶片…（公開索引標題截斷）</x:v>
      </x:c>
      <x:c r="E23" s="169"/>
      <x:c r="F23" s="170"/>
      <x:c r="G23" s="167" t="str">
        <x:v>公開索引未核到穩定觀看數</x:v>
      </x:c>
      <x:c r="H23" s="167" t="str">
        <x:v>公開索引未核到時長</x:v>
      </x:c>
      <x:c r="I23" s="167" t="str">
        <x:v>https://www.youtube.com/@KGISIA.channel</x:v>
      </x:c>
      <x:c r="J23" s="179" t="str"/>
    </x:row>
    <x:row r="24" ht="45" customHeight="1">
      <x:c r="A24" s="178" t="str">
        <x:v>凱基股股漲</x:v>
      </x:c>
      <x:c r="B24" s="168" t="n">
        <x:v>46197</x:v>
      </x:c>
      <x:c r="C24" s="167" t="str">
        <x:v>#694</x:v>
      </x:c>
      <x:c r="D24" s="167" t="str">
        <x:v>融資餘額破紀錄 籌碼是助力還失控？測試介面成先進封裝的決戰點</x:v>
      </x:c>
      <x:c r="E24" s="169"/>
      <x:c r="F24" s="170"/>
      <x:c r="G24" s="167" t="str">
        <x:v>公開索引未核到穩定觀看數</x:v>
      </x:c>
      <x:c r="H24" s="167" t="str">
        <x:v>公開索引未核到時長</x:v>
      </x:c>
      <x:c r="I24" s="167" t="str">
        <x:v>https://www.youtube.com/@KGISIA.channel</x:v>
      </x:c>
      <x:c r="J24" s="179" t="str"/>
    </x:row>
    <x:row r="25" ht="45" customHeight="1">
      <x:c r="A25" s="178" t="str">
        <x:v>凱基股股漲</x:v>
      </x:c>
      <x:c r="B25" s="168" t="n">
        <x:v>46198</x:v>
      </x:c>
      <x:c r="C25" s="167" t="str">
        <x:v>#695</x:v>
      </x:c>
      <x:c r="D25" s="167" t="str">
        <x:v>美光一人救全村 但外資大賣是隱憂嗎？FOPLP掀起下一波AI先進封裝新戰局</x:v>
      </x:c>
      <x:c r="E25" s="169"/>
      <x:c r="F25" s="170"/>
      <x:c r="G25" s="167" t="str">
        <x:v>公開索引未核到穩定觀看數</x:v>
      </x:c>
      <x:c r="H25" s="167" t="str">
        <x:v>公開索引未核到時長</x:v>
      </x:c>
      <x:c r="I25" s="167" t="str">
        <x:v>https://www.youtube.com/@KGISIA.channel</x:v>
      </x:c>
      <x:c r="J25" s="179" t="str"/>
    </x:row>
    <x:row r="26" ht="45" customHeight="1">
      <x:c r="A26" s="178" t="str">
        <x:v>凱基股股漲</x:v>
      </x:c>
      <x:c r="B26" s="168" t="n">
        <x:v>46199</x:v>
      </x:c>
      <x:c r="C26" s="167" t="str">
        <x:v>#696</x:v>
      </x:c>
      <x:c r="D26" s="167" t="str">
        <x:v>台股下半年趨勢總體檢！掌握關鍵先機佈局未來贏家</x:v>
      </x:c>
      <x:c r="E26" s="169" t="n">
        <x:v>13000</x:v>
      </x:c>
      <x:c r="F26" s="170" t="n">
        <x:v>0.02199074074074074</x:v>
      </x:c>
      <x:c r="G26" s="167" t="str">
        <x:v>約值（公開頁顯示 13K）</x:v>
      </x:c>
      <x:c r="H26" s="167" t="str">
        <x:v>YouTube 公開時長</x:v>
      </x:c>
      <x:c r="I26" s="167" t="str">
        <x:v>https://www.youtube.com/watch?v=8pRZlO6DleU</x:v>
      </x:c>
      <x:c r="J26" s="179" t="str"/>
    </x:row>
    <x:row r="27" ht="45" customHeight="1">
      <x:c r="A27" s="178" t="str">
        <x:v>凱基股股漲</x:v>
      </x:c>
      <x:c r="B27" s="168" t="n">
        <x:v>46202</x:v>
      </x:c>
      <x:c r="C27" s="167" t="str">
        <x:v>#697</x:v>
      </x:c>
      <x:c r="D27" s="167" t="str">
        <x:v>震盪才是印鈔機 如何解鎖財富密碼？AI＋燃油雙引擎齊開 航空股乘風高飛</x:v>
      </x:c>
      <x:c r="E27" s="169"/>
      <x:c r="F27" s="170"/>
      <x:c r="G27" s="167" t="str">
        <x:v>公開索引未核到穩定觀看數</x:v>
      </x:c>
      <x:c r="H27" s="167" t="str">
        <x:v>公開索引未核到時長</x:v>
      </x:c>
      <x:c r="I27" s="167" t="str">
        <x:v>https://www.youtube.com/@KGISIA.channel</x:v>
      </x:c>
      <x:c r="J27" s="179" t="str"/>
    </x:row>
    <x:row r="28" ht="45" customHeight="1">
      <x:c r="A28" s="178" t="str">
        <x:v>凱基股股漲</x:v>
      </x:c>
      <x:c r="B28" s="168" t="n">
        <x:v>46203</x:v>
      </x:c>
      <x:c r="C28" s="167" t="str">
        <x:v>#698</x:v>
      </x:c>
      <x:c r="D28" s="167" t="str">
        <x:v>台股能拚月K連四紅？底氣在哪裡？輝達新模型登場 工業電腦迎黃金期？</x:v>
      </x:c>
      <x:c r="E28" s="169"/>
      <x:c r="F28" s="170"/>
      <x:c r="G28" s="167" t="str">
        <x:v>公開索引未核到穩定觀看數</x:v>
      </x:c>
      <x:c r="H28" s="167" t="str">
        <x:v>公開索引未核到時長</x:v>
      </x:c>
      <x:c r="I28" s="167" t="str">
        <x:v>https://www.youtube.com/@KGISIA.channel</x:v>
      </x:c>
      <x:c r="J28" s="179" t="str"/>
    </x:row>
    <x:row r="29" ht="45" customHeight="1">
      <x:c r="A29" s="178" t="str">
        <x:v>凱基股股漲</x:v>
      </x:c>
      <x:c r="B29" s="168" t="n">
        <x:v>46204</x:v>
      </x:c>
      <x:c r="C29" s="167" t="str">
        <x:v>#699</x:v>
      </x:c>
      <x:c r="D29" s="167" t="str">
        <x:v>美製造業擴張亮燈？台股跟上？CoWoS擴產 前後段耗材全面爆發</x:v>
      </x:c>
      <x:c r="E29" s="169"/>
      <x:c r="F29" s="170"/>
      <x:c r="G29" s="167" t="str">
        <x:v>公開索引未核到穩定觀看數</x:v>
      </x:c>
      <x:c r="H29" s="167" t="str">
        <x:v>公開索引未核到時長</x:v>
      </x:c>
      <x:c r="I29" s="167" t="str">
        <x:v>https://www.youtube.com/@KGISIA.channel</x:v>
      </x:c>
      <x:c r="J29" s="179" t="str"/>
    </x:row>
    <x:row r="30" ht="45" customHeight="1">
      <x:c r="A30" s="178" t="str">
        <x:v>凱基股股漲</x:v>
      </x:c>
      <x:c r="B30" s="168" t="n">
        <x:v>46205</x:v>
      </x:c>
      <x:c r="C30" s="167" t="str">
        <x:v>#700</x:v>
      </x:c>
      <x:c r="D30" s="167" t="str">
        <x:v>財報季將至如何掌握投資先機？川普點名看好 卡位量子運算快轉商機</x:v>
      </x:c>
      <x:c r="E30" s="169" t="n">
        <x:v>16000</x:v>
      </x:c>
      <x:c r="F30" s="170" t="n">
        <x:v>0.009097222222222222</x:v>
      </x:c>
      <x:c r="G30" s="167" t="str">
        <x:v>約值（公開頁顯示 16K）</x:v>
      </x:c>
      <x:c r="H30" s="167" t="str">
        <x:v>YouTube 公開時長</x:v>
      </x:c>
      <x:c r="I30" s="167" t="str">
        <x:v>https://www.youtube.com/watch?v=lhoaPU7YLuI</x:v>
      </x:c>
      <x:c r="J30" s="179" t="str"/>
    </x:row>
    <x:row r="31" ht="45" customHeight="1">
      <x:c r="A31" s="178" t="str">
        <x:v>凱基股股漲</x:v>
      </x:c>
      <x:c r="B31" s="168" t="n">
        <x:v>46206</x:v>
      </x:c>
      <x:c r="C31" s="167" t="str">
        <x:v>#701</x:v>
      </x:c>
      <x:c r="D31" s="167" t="str">
        <x:v>第701集（公開索引未核到完整標題）</x:v>
      </x:c>
      <x:c r="E31" s="169"/>
      <x:c r="F31" s="170"/>
      <x:c r="G31" s="167" t="str">
        <x:v>公開索引未核到穩定觀看數</x:v>
      </x:c>
      <x:c r="H31" s="167" t="str">
        <x:v>公開索引未核到時長</x:v>
      </x:c>
      <x:c r="I31" s="167" t="str">
        <x:v>https://www.youtube.com/@KGISIA.channel</x:v>
      </x:c>
      <x:c r="J31" s="179" t="str"/>
    </x:row>
    <x:row r="32" ht="45" customHeight="1">
      <x:c r="A32" s="178" t="str">
        <x:v>凱基股股漲</x:v>
      </x:c>
      <x:c r="B32" s="168" t="n">
        <x:v>46209</x:v>
      </x:c>
      <x:c r="C32" s="167" t="str">
        <x:v>#702</x:v>
      </x:c>
      <x:c r="D32" s="167" t="str">
        <x:v>法說行情大補帖 科技股扮先鋒？自研晶片成王道？揭開出貨爆發財富密碼！</x:v>
      </x:c>
      <x:c r="E32" s="169"/>
      <x:c r="F32" s="170"/>
      <x:c r="G32" s="167" t="str">
        <x:v>公開索引未核到穩定觀看數</x:v>
      </x:c>
      <x:c r="H32" s="167" t="str">
        <x:v>公開索引未核到時長</x:v>
      </x:c>
      <x:c r="I32" s="167" t="str">
        <x:v>https://www.youtube.com/@KGISIA.channel</x:v>
      </x:c>
      <x:c r="J32" s="179" t="str"/>
    </x:row>
    <x:row r="33" ht="45" customHeight="1">
      <x:c r="A33" s="178" t="str">
        <x:v>凱基股股漲</x:v>
      </x:c>
      <x:c r="B33" s="168" t="n">
        <x:v>46210</x:v>
      </x:c>
      <x:c r="C33" s="167" t="str">
        <x:v>#703</x:v>
      </x:c>
      <x:c r="D33" s="167" t="str">
        <x:v>台股多頭加速換檔 非電族群接棒？</x:v>
      </x:c>
      <x:c r="E33" s="169" t="n">
        <x:v>15000</x:v>
      </x:c>
      <x:c r="F33" s="170"/>
      <x:c r="G33" s="167" t="str">
        <x:v>約值（公開頁顯示 15K）</x:v>
      </x:c>
      <x:c r="H33" s="167" t="str">
        <x:v>未核到</x:v>
      </x:c>
      <x:c r="I33" s="167" t="str">
        <x:v>https://www.youtube.com/watch?v=P5nKmDHmPhs</x:v>
      </x:c>
      <x:c r="J33" s="179" t="str"/>
    </x:row>
    <x:row r="34" ht="45" customHeight="1">
      <x:c r="A34" s="178" t="str">
        <x:v>凱基股股漲</x:v>
      </x:c>
      <x:c r="B34" s="168" t="n">
        <x:v>46211</x:v>
      </x:c>
      <x:c r="C34" s="167" t="str">
        <x:v>#704</x:v>
      </x:c>
      <x:c r="D34" s="167" t="str">
        <x:v>AI重塑台股價值，破解…（公開索引標題截斷）</x:v>
      </x:c>
      <x:c r="E34" s="169"/>
      <x:c r="F34" s="170"/>
      <x:c r="G34" s="167" t="str">
        <x:v>公開索引未核到穩定觀看數</x:v>
      </x:c>
      <x:c r="H34" s="167" t="str">
        <x:v>公開索引未核到時長</x:v>
      </x:c>
      <x:c r="I34" s="167" t="str">
        <x:v>https://www.youtube.com/@KGISIA.channel</x:v>
      </x:c>
      <x:c r="J34" s="179" t="str"/>
    </x:row>
    <x:row r="35" ht="45" customHeight="1">
      <x:c r="A35" s="178" t="str">
        <x:v>凱基股股漲</x:v>
      </x:c>
      <x:c r="B35" s="168" t="n">
        <x:v>46212</x:v>
      </x:c>
      <x:c r="C35" s="167" t="str">
        <x:v>#705</x:v>
      </x:c>
      <x:c r="D35" s="167" t="str">
        <x:v>第705集（公開索引未核到完整標題）</x:v>
      </x:c>
      <x:c r="E35" s="169"/>
      <x:c r="F35" s="170"/>
      <x:c r="G35" s="167" t="str">
        <x:v>公開索引未核到穩定觀看數</x:v>
      </x:c>
      <x:c r="H35" s="167" t="str">
        <x:v>公開索引未核到時長</x:v>
      </x:c>
      <x:c r="I35" s="167" t="str">
        <x:v>https://www.youtube.com/@KGISIA.channel</x:v>
      </x:c>
      <x:c r="J35" s="179" t="str"/>
    </x:row>
    <x:row r="36" ht="45" customHeight="1">
      <x:c r="A36" s="178" t="str">
        <x:v>凱基股股漲</x:v>
      </x:c>
      <x:c r="B36" s="168" t="n">
        <x:v>46213</x:v>
      </x:c>
      <x:c r="C36" s="167" t="str">
        <x:v>#706</x:v>
      </x:c>
      <x:c r="D36" s="167" t="str">
        <x:v>第706集（公開索引未核到完整標題）</x:v>
      </x:c>
      <x:c r="E36" s="169"/>
      <x:c r="F36" s="170"/>
      <x:c r="G36" s="167" t="str">
        <x:v>公開索引未核到穩定觀看數</x:v>
      </x:c>
      <x:c r="H36" s="167" t="str">
        <x:v>公開索引未核到時長</x:v>
      </x:c>
      <x:c r="I36" s="167" t="str">
        <x:v>https://www.youtube.com/@KGISIA.channel</x:v>
      </x:c>
      <x:c r="J36" s="179" t="str"/>
    </x:row>
    <x:row r="37" ht="45" customHeight="1">
      <x:c r="A37" s="178" t="str">
        <x:v>凱基股股漲</x:v>
      </x:c>
      <x:c r="B37" s="168" t="n">
        <x:v>46216</x:v>
      </x:c>
      <x:c r="C37" s="167" t="str">
        <x:v>#707</x:v>
      </x:c>
      <x:c r="D37" s="167" t="str">
        <x:v>台股震盪焦點往哪放？股債平衡抗波動、不追高</x:v>
      </x:c>
      <x:c r="E37" s="169" t="n">
        <x:v>11000</x:v>
      </x:c>
      <x:c r="F37" s="170"/>
      <x:c r="G37" s="167" t="str">
        <x:v>約值（公開頁顯示 11K）</x:v>
      </x:c>
      <x:c r="H37" s="167" t="str">
        <x:v>未核到</x:v>
      </x:c>
      <x:c r="I37" s="167" t="str">
        <x:v>https://www.youtube.com/watch?v=33-4SJZ5Twg</x:v>
      </x:c>
      <x:c r="J37" s="179" t="str">
        <x:v>標題依公開索引整理</x:v>
      </x:c>
    </x:row>
    <x:row r="38" ht="45" customHeight="1">
      <x:c r="A38" s="178" t="str">
        <x:v>凱基股股漲</x:v>
      </x:c>
      <x:c r="B38" s="168" t="n">
        <x:v>46218</x:v>
      </x:c>
      <x:c r="C38" s="167" t="str">
        <x:v>#708</x:v>
      </x:c>
      <x:c r="D38" s="167" t="str">
        <x:v>美通膨驚喜降溫治癒市場恐高症？6月營收創高尋寶 獲利還能上修？</x:v>
      </x:c>
      <x:c r="E38" s="169" t="n">
        <x:v>9900</x:v>
      </x:c>
      <x:c r="F38" s="170"/>
      <x:c r="G38" s="167" t="str">
        <x:v>約值（公開頁顯示 9.9K）</x:v>
      </x:c>
      <x:c r="H38" s="167" t="str">
        <x:v>未核到</x:v>
      </x:c>
      <x:c r="I38" s="167" t="str">
        <x:v>https://www.youtube.com/watch?v=aW02BAOlhac</x:v>
      </x:c>
      <x:c r="J38" s="179" t="str"/>
    </x:row>
    <x:row r="39" ht="45" customHeight="1">
      <x:c r="A39" s="178" t="str">
        <x:v>凱基股股漲</x:v>
      </x:c>
      <x:c r="B39" s="168" t="n">
        <x:v>46219</x:v>
      </x:c>
      <x:c r="C39" s="167" t="str">
        <x:v>#709</x:v>
      </x:c>
      <x:c r="D39" s="167" t="str">
        <x:v>秒變內行台積電法說「精準吃瓜指南」 半導體廠狂擴產 廠務工程悶聲發大財！</x:v>
      </x:c>
      <x:c r="E39" s="169" t="n">
        <x:v>9500</x:v>
      </x:c>
      <x:c r="F39" s="170"/>
      <x:c r="G39" s="167" t="str">
        <x:v>約值（公開頁顯示 9.5K）</x:v>
      </x:c>
      <x:c r="H39" s="167" t="str">
        <x:v>未核到</x:v>
      </x:c>
      <x:c r="I39" s="167" t="str">
        <x:v>https://www.youtube.com/watch?v=DURAKtkmZE4</x:v>
      </x:c>
      <x:c r="J39" s="179" t="str"/>
    </x:row>
    <x:row r="40" ht="45" customHeight="1">
      <x:c r="A40" s="178" t="str">
        <x:v>凱基股股漲</x:v>
      </x:c>
      <x:c r="B40" s="168" t="n">
        <x:v>46220</x:v>
      </x:c>
      <x:c r="C40" s="167" t="str">
        <x:v>#710</x:v>
      </x:c>
      <x:c r="D40" s="167" t="str">
        <x:v>台積法說失靈 台股會步入韓股後塵？獲利配息有看頭 金融新劇本上演</x:v>
      </x:c>
      <x:c r="E40" s="169" t="n">
        <x:v>10000</x:v>
      </x:c>
      <x:c r="F40" s="170"/>
      <x:c r="G40" s="167" t="str">
        <x:v>約值（公開頁顯示 10K）</x:v>
      </x:c>
      <x:c r="H40" s="167" t="str">
        <x:v>未核到</x:v>
      </x:c>
      <x:c r="I40" s="167" t="str">
        <x:v>https://www.youtube.com/@KGISIA.channel</x:v>
      </x:c>
      <x:c r="J40" s="179" t="str"/>
    </x:row>
    <x:row r="41" ht="45" customHeight="1">
      <x:c r="A41" s="178" t="str">
        <x:v>凱基股股漲</x:v>
      </x:c>
      <x:c r="B41" s="168" t="n">
        <x:v>46223</x:v>
      </x:c>
      <x:c r="C41" s="167" t="str">
        <x:v>#711</x:v>
      </x:c>
      <x:c r="D41" s="167" t="str">
        <x:v>台股跌破季線 是危機還是翻身邀請函？鐵馬變金馬 自行車上演逆襲劇本？</x:v>
      </x:c>
      <x:c r="E41" s="169"/>
      <x:c r="F41" s="170"/>
      <x:c r="G41" s="167" t="str">
        <x:v>公開索引未核到穩定觀看數</x:v>
      </x:c>
      <x:c r="H41" s="167" t="str">
        <x:v>公開索引未核到時長</x:v>
      </x:c>
      <x:c r="I41" s="167" t="str">
        <x:v>https://www.youtube.com/@KGISIA.channel</x:v>
      </x:c>
      <x:c r="J41" s="179" t="str"/>
    </x:row>
    <x:row r="42" ht="45" customHeight="1">
      <x:c r="A42" s="178" t="str">
        <x:v>永豐直播｜今天Shot這盤</x:v>
      </x:c>
      <x:c r="B42" s="168" t="n">
        <x:v>46195</x:v>
      </x:c>
      <x:c r="C42" s="167" t="str"/>
      <x:c r="D42" s="167" t="str">
        <x:v>FOMC釋偏鷹訊號！台美股休市後尋求高檔支撐，外本比排行：鈞寶、鼎元、臺慶科</x:v>
      </x:c>
      <x:c r="E42" s="169" t="n">
        <x:v>4500</x:v>
      </x:c>
      <x:c r="F42" s="170"/>
      <x:c r="G42" s="167" t="str">
        <x:v>約值（公開頁顯示 4.5K）</x:v>
      </x:c>
      <x:c r="H42" s="167" t="str">
        <x:v>未核到</x:v>
      </x:c>
      <x:c r="I42" s="167" t="str">
        <x:v>https://www.youtube.com/watch?v=dHfocLdB308</x:v>
      </x:c>
      <x:c r="J42" s="179" t="str"/>
    </x:row>
    <x:row r="43" ht="45" customHeight="1">
      <x:c r="A43" s="178" t="str">
        <x:v>永豐直播｜今天Shot這盤</x:v>
      </x:c>
      <x:c r="B43" s="168" t="n">
        <x:v>46196</x:v>
      </x:c>
      <x:c r="C43" s="167" t="str"/>
      <x:c r="D43" s="167" t="str">
        <x:v>《今天Shot這盤》2026/06/23（公開索引未核到完整標題）</x:v>
      </x:c>
      <x:c r="E43" s="169"/>
      <x:c r="F43" s="170"/>
      <x:c r="G43" s="167" t="str">
        <x:v>公開索引未核到穩定觀看數</x:v>
      </x:c>
      <x:c r="H43" s="167" t="str">
        <x:v>公開索引未核到時長</x:v>
      </x:c>
      <x:c r="I43" s="167" t="str">
        <x:v>https://www.youtube.com/@SinoEC/streams</x:v>
      </x:c>
      <x:c r="J43" s="179" t="str"/>
    </x:row>
    <x:row r="44" ht="45" customHeight="1">
      <x:c r="A44" s="178" t="str">
        <x:v>永豐直播｜今天Shot這盤</x:v>
      </x:c>
      <x:c r="B44" s="168" t="n">
        <x:v>46197</x:v>
      </x:c>
      <x:c r="C44" s="167" t="str"/>
      <x:c r="D44" s="167" t="str">
        <x:v>《今天Shot這盤》2026/06/24（公開索引未核到完整標題）</x:v>
      </x:c>
      <x:c r="E44" s="169" t="n">
        <x:v>1900</x:v>
      </x:c>
      <x:c r="F44" s="170" t="n">
        <x:v>0.020462962962962964</x:v>
      </x:c>
      <x:c r="G44" s="167" t="str">
        <x:v>約值（公開頁顯示 1.9K）</x:v>
      </x:c>
      <x:c r="H44" s="167" t="str">
        <x:v>YouTube 公開時長</x:v>
      </x:c>
      <x:c r="I44" s="167" t="str">
        <x:v>https://www.youtube.com/@SinoEC/streams</x:v>
      </x:c>
      <x:c r="J44" s="179" t="str"/>
    </x:row>
    <x:row r="45" ht="45" customHeight="1">
      <x:c r="A45" s="178" t="str">
        <x:v>永豐直播｜今天Shot這盤</x:v>
      </x:c>
      <x:c r="B45" s="168" t="n">
        <x:v>46198</x:v>
      </x:c>
      <x:c r="C45" s="167" t="str"/>
      <x:c r="D45" s="167" t="str">
        <x:v>《今天Shot這盤》2026/06/25（公開索引未核到完整標題）</x:v>
      </x:c>
      <x:c r="E45" s="169"/>
      <x:c r="F45" s="170"/>
      <x:c r="G45" s="167" t="str">
        <x:v>公開索引未核到穩定觀看數</x:v>
      </x:c>
      <x:c r="H45" s="167" t="str">
        <x:v>公開索引未核到時長</x:v>
      </x:c>
      <x:c r="I45" s="167" t="str">
        <x:v>https://www.youtube.com/@SinoEC/streams</x:v>
      </x:c>
      <x:c r="J45" s="179" t="str"/>
    </x:row>
    <x:row r="46" ht="45" customHeight="1">
      <x:c r="A46" s="178" t="str">
        <x:v>永豐直播｜今天Shot這盤</x:v>
      </x:c>
      <x:c r="B46" s="168" t="n">
        <x:v>46199</x:v>
      </x:c>
      <x:c r="C46" s="167" t="str"/>
      <x:c r="D46" s="167" t="str">
        <x:v>《今天Shot這盤》2026/06/26（公開索引未核到完整標題）</x:v>
      </x:c>
      <x:c r="E46" s="169"/>
      <x:c r="F46" s="170"/>
      <x:c r="G46" s="167" t="str">
        <x:v>公開索引未核到穩定觀看數</x:v>
      </x:c>
      <x:c r="H46" s="167" t="str">
        <x:v>公開索引未核到時長</x:v>
      </x:c>
      <x:c r="I46" s="167" t="str">
        <x:v>https://www.youtube.com/@SinoEC/streams</x:v>
      </x:c>
      <x:c r="J46" s="179" t="str"/>
    </x:row>
    <x:row r="47" ht="45" customHeight="1">
      <x:c r="A47" s="178" t="str">
        <x:v>永豐直播｜今天Shot這盤</x:v>
      </x:c>
      <x:c r="B47" s="168" t="n">
        <x:v>46202</x:v>
      </x:c>
      <x:c r="C47" s="167" t="str"/>
      <x:c r="D47" s="167" t="str">
        <x:v>《今天Shot這盤》2026/06/29（公開索引未核到完整標題）</x:v>
      </x:c>
      <x:c r="E47" s="169"/>
      <x:c r="F47" s="170"/>
      <x:c r="G47" s="167" t="str">
        <x:v>公開索引未核到穩定觀看數</x:v>
      </x:c>
      <x:c r="H47" s="167" t="str">
        <x:v>公開索引未核到時長</x:v>
      </x:c>
      <x:c r="I47" s="167" t="str">
        <x:v>https://www.youtube.com/@SinoEC/streams</x:v>
      </x:c>
      <x:c r="J47" s="179" t="str"/>
    </x:row>
    <x:row r="48" ht="45" customHeight="1">
      <x:c r="A48" s="178" t="str">
        <x:v>永豐直播｜今天Shot這盤</x:v>
      </x:c>
      <x:c r="B48" s="168" t="n">
        <x:v>46203</x:v>
      </x:c>
      <x:c r="C48" s="167" t="str"/>
      <x:c r="D48" s="167" t="str">
        <x:v>《今天Shot這盤》2026/06/30（公開索引未核到完整標題）</x:v>
      </x:c>
      <x:c r="E48" s="169"/>
      <x:c r="F48" s="170"/>
      <x:c r="G48" s="167" t="str">
        <x:v>公開索引未核到穩定觀看數</x:v>
      </x:c>
      <x:c r="H48" s="167" t="str">
        <x:v>公開索引未核到時長</x:v>
      </x:c>
      <x:c r="I48" s="167" t="str">
        <x:v>https://www.youtube.com/@SinoEC/streams</x:v>
      </x:c>
      <x:c r="J48" s="179" t="str"/>
    </x:row>
    <x:row r="49" ht="45" customHeight="1">
      <x:c r="A49" s="178" t="str">
        <x:v>永豐直播｜今天Shot這盤</x:v>
      </x:c>
      <x:c r="B49" s="168" t="n">
        <x:v>46204</x:v>
      </x:c>
      <x:c r="C49" s="167" t="str"/>
      <x:c r="D49" s="167" t="str">
        <x:v>大盤跳空強彈1126點…（公開索引標題截斷）</x:v>
      </x:c>
      <x:c r="E49" s="169"/>
      <x:c r="F49" s="170"/>
      <x:c r="G49" s="167" t="str">
        <x:v>公開索引未核到穩定觀看數</x:v>
      </x:c>
      <x:c r="H49" s="167" t="str">
        <x:v>公開索引未核到時長</x:v>
      </x:c>
      <x:c r="I49" s="167" t="str">
        <x:v>https://www.youtube.com/watch?v=bWsxO9L_1VY</x:v>
      </x:c>
      <x:c r="J49" s="179" t="str"/>
    </x:row>
    <x:row r="50" ht="45" customHeight="1">
      <x:c r="A50" s="178" t="str">
        <x:v>永豐直播｜今天Shot這盤</x:v>
      </x:c>
      <x:c r="B50" s="168" t="n">
        <x:v>46205</x:v>
      </x:c>
      <x:c r="C50" s="167" t="str"/>
      <x:c r="D50" s="167" t="str">
        <x:v>三大法人合力買超逾529億…（公開索引標題截斷）</x:v>
      </x:c>
      <x:c r="E50" s="169"/>
      <x:c r="F50" s="170"/>
      <x:c r="G50" s="167" t="str">
        <x:v>公開索引未核到穩定觀看數</x:v>
      </x:c>
      <x:c r="H50" s="167" t="str">
        <x:v>公開索引未核到時長</x:v>
      </x:c>
      <x:c r="I50" s="167" t="str">
        <x:v>https://www.youtube.com/watch?v=GVaSGDqC8BE</x:v>
      </x:c>
      <x:c r="J50" s="179" t="str"/>
    </x:row>
    <x:row r="51" ht="45" customHeight="1">
      <x:c r="A51" s="178" t="str">
        <x:v>永豐直播｜今天Shot這盤</x:v>
      </x:c>
      <x:c r="B51" s="168" t="n">
        <x:v>46206</x:v>
      </x:c>
      <x:c r="C51" s="167" t="str"/>
      <x:c r="D51" s="167" t="str">
        <x:v>《今天Shot這盤》2026/07/03（公開索引未核到完整標題）</x:v>
      </x:c>
      <x:c r="E51" s="169"/>
      <x:c r="F51" s="170"/>
      <x:c r="G51" s="167" t="str">
        <x:v>公開索引未核到穩定觀看數</x:v>
      </x:c>
      <x:c r="H51" s="167" t="str">
        <x:v>公開索引未核到時長</x:v>
      </x:c>
      <x:c r="I51" s="167" t="str">
        <x:v>https://www.youtube.com/@SinoEC/streams</x:v>
      </x:c>
      <x:c r="J51" s="179" t="str"/>
    </x:row>
    <x:row r="52" ht="45" customHeight="1">
      <x:c r="A52" s="178" t="str">
        <x:v>永豐直播｜今天Shot這盤</x:v>
      </x:c>
      <x:c r="B52" s="168" t="n">
        <x:v>46209</x:v>
      </x:c>
      <x:c r="C52" s="167" t="str"/>
      <x:c r="D52" s="167" t="str">
        <x:v>外資狂砍台積電305億…（公開索引標題截斷）</x:v>
      </x:c>
      <x:c r="E52" s="169" t="n">
        <x:v>3000</x:v>
      </x:c>
      <x:c r="F52" s="170"/>
      <x:c r="G52" s="167" t="str">
        <x:v>約值（公開頁顯示 3K）</x:v>
      </x:c>
      <x:c r="H52" s="167" t="str">
        <x:v>未核到</x:v>
      </x:c>
      <x:c r="I52" s="167" t="str">
        <x:v>https://www.youtube.com/watch?v=q-XZ4Ckw3kA</x:v>
      </x:c>
      <x:c r="J52" s="179" t="str"/>
    </x:row>
    <x:row r="53" ht="45" customHeight="1">
      <x:c r="A53" s="178" t="str">
        <x:v>永豐直播｜今天Shot這盤</x:v>
      </x:c>
      <x:c r="B53" s="168" t="n">
        <x:v>46210</x:v>
      </x:c>
      <x:c r="C53" s="167" t="str"/>
      <x:c r="D53" s="167" t="str">
        <x:v>功率半導體四雄…（公開索引標題截斷）</x:v>
      </x:c>
      <x:c r="E53" s="169" t="n">
        <x:v>2300</x:v>
      </x:c>
      <x:c r="F53" s="170"/>
      <x:c r="G53" s="167" t="str">
        <x:v>約值（公開頁顯示 2.3K）</x:v>
      </x:c>
      <x:c r="H53" s="167" t="str">
        <x:v>未核到</x:v>
      </x:c>
      <x:c r="I53" s="167" t="str">
        <x:v>https://www.youtube.com/watch?v=KtoS6PP0d5s</x:v>
      </x:c>
      <x:c r="J53" s="179" t="str"/>
    </x:row>
    <x:row r="54" ht="45" customHeight="1">
      <x:c r="A54" s="178" t="str">
        <x:v>永豐直播｜今天Shot這盤</x:v>
      </x:c>
      <x:c r="B54" s="168" t="n">
        <x:v>46211</x:v>
      </x:c>
      <x:c r="C54" s="167" t="str"/>
      <x:c r="D54" s="167" t="str">
        <x:v>美股科技泡沫警訊…（公開索引標題截斷）</x:v>
      </x:c>
      <x:c r="E54" s="169" t="n">
        <x:v>2600</x:v>
      </x:c>
      <x:c r="F54" s="170"/>
      <x:c r="G54" s="167" t="str">
        <x:v>約值（公開頁顯示 2.6K）</x:v>
      </x:c>
      <x:c r="H54" s="167" t="str">
        <x:v>未核到</x:v>
      </x:c>
      <x:c r="I54" s="167" t="str">
        <x:v>https://www.youtube.com/watch?v=sJcAuTrKQWc</x:v>
      </x:c>
      <x:c r="J54" s="179" t="str"/>
    </x:row>
    <x:row r="55" ht="45" customHeight="1">
      <x:c r="A55" s="178" t="str">
        <x:v>永豐直播｜今天Shot這盤</x:v>
      </x:c>
      <x:c r="B55" s="168" t="n">
        <x:v>46212</x:v>
      </x:c>
      <x:c r="C55" s="167" t="str"/>
      <x:c r="D55" s="167" t="str">
        <x:v>《今天Shot這盤》2026/07/09（公開索引未核到完整標題）</x:v>
      </x:c>
      <x:c r="E55" s="169"/>
      <x:c r="F55" s="170"/>
      <x:c r="G55" s="167" t="str">
        <x:v>公開索引未核到穩定觀看數</x:v>
      </x:c>
      <x:c r="H55" s="167" t="str">
        <x:v>公開索引未核到時長</x:v>
      </x:c>
      <x:c r="I55" s="167" t="str">
        <x:v>https://www.youtube.com/@SinoEC/streams</x:v>
      </x:c>
      <x:c r="J55" s="179" t="str"/>
    </x:row>
    <x:row r="56" ht="45" customHeight="1">
      <x:c r="A56" s="178" t="str">
        <x:v>永豐直播｜今天Shot這盤</x:v>
      </x:c>
      <x:c r="B56" s="168" t="n">
        <x:v>46213</x:v>
      </x:c>
      <x:c r="C56" s="167" t="str"/>
      <x:c r="D56" s="167" t="str">
        <x:v>《今天Shot這盤》2026/07/10（公開索引未核到完整標題）</x:v>
      </x:c>
      <x:c r="E56" s="169"/>
      <x:c r="F56" s="170"/>
      <x:c r="G56" s="167" t="str">
        <x:v>公開索引未核到穩定觀看數</x:v>
      </x:c>
      <x:c r="H56" s="167" t="str">
        <x:v>公開索引未核到時長</x:v>
      </x:c>
      <x:c r="I56" s="167" t="str">
        <x:v>https://www.youtube.com/@SinoEC/streams</x:v>
      </x:c>
      <x:c r="J56" s="179" t="str"/>
    </x:row>
    <x:row r="57" ht="45" customHeight="1">
      <x:c r="A57" s="178" t="str">
        <x:v>永豐直播｜今天Shot這盤</x:v>
      </x:c>
      <x:c r="B57" s="168" t="n">
        <x:v>46216</x:v>
      </x:c>
      <x:c r="C57" s="167" t="str"/>
      <x:c r="D57" s="167" t="str">
        <x:v>費半狂飆7%助攻台股千點大反撲…（公開索引標題截斷）</x:v>
      </x:c>
      <x:c r="E57" s="169" t="n">
        <x:v>2000</x:v>
      </x:c>
      <x:c r="F57" s="170"/>
      <x:c r="G57" s="167" t="str">
        <x:v>約值（公開頁顯示 2K）</x:v>
      </x:c>
      <x:c r="H57" s="167" t="str">
        <x:v>未核到</x:v>
      </x:c>
      <x:c r="I57" s="167" t="str">
        <x:v>https://www.youtube.com/watch?v=Qiew4fjABbI</x:v>
      </x:c>
      <x:c r="J57" s="179" t="str"/>
    </x:row>
    <x:row r="58" ht="45" customHeight="1">
      <x:c r="A58" s="178" t="str">
        <x:v>永豐直播｜今天Shot這盤</x:v>
      </x:c>
      <x:c r="B58" s="168" t="n">
        <x:v>46217</x:v>
      </x:c>
      <x:c r="C58" s="167" t="str"/>
      <x:c r="D58" s="167" t="str">
        <x:v>美光長約引爆矽晶圓噴發天價！軍工、無人機概念強勢續強</x:v>
      </x:c>
      <x:c r="E58" s="169"/>
      <x:c r="F58" s="170"/>
      <x:c r="G58" s="167" t="str">
        <x:v>公開索引未核到穩定觀看數</x:v>
      </x:c>
      <x:c r="H58" s="167" t="str">
        <x:v>公開索引未核到時長</x:v>
      </x:c>
      <x:c r="I58" s="167" t="str">
        <x:v>https://www.youtube.com/@SinoEC/streams</x:v>
      </x:c>
      <x:c r="J58" s="179" t="str"/>
    </x:row>
    <x:row r="59" ht="45" customHeight="1">
      <x:c r="A59" s="178" t="str">
        <x:v>永豐直播｜今天Shot這盤</x:v>
      </x:c>
      <x:c r="B59" s="168" t="n">
        <x:v>46218</x:v>
      </x:c>
      <x:c r="C59" s="167" t="str"/>
      <x:c r="D59" s="167" t="str">
        <x:v>端午變盤疑慮消退…（公開索引標題截斷）</x:v>
      </x:c>
      <x:c r="E59" s="169"/>
      <x:c r="F59" s="170"/>
      <x:c r="G59" s="167" t="str">
        <x:v>公開索引未核到穩定觀看數</x:v>
      </x:c>
      <x:c r="H59" s="167" t="str">
        <x:v>公開索引未核到時長</x:v>
      </x:c>
      <x:c r="I59" s="167" t="str">
        <x:v>https://www.youtube.com/watch?v=xPs2_HH5iHM</x:v>
      </x:c>
      <x:c r="J59" s="179" t="str"/>
    </x:row>
    <x:row r="60" ht="45" customHeight="1">
      <x:c r="A60" s="178" t="str">
        <x:v>永豐直播｜今天Shot這盤</x:v>
      </x:c>
      <x:c r="B60" s="168" t="n">
        <x:v>46219</x:v>
      </x:c>
      <x:c r="C60" s="167" t="str"/>
      <x:c r="D60" s="167" t="str">
        <x:v>台股反彈893點…（公開索引標題截斷）</x:v>
      </x:c>
      <x:c r="E60" s="169" t="n">
        <x:v>1800</x:v>
      </x:c>
      <x:c r="F60" s="170"/>
      <x:c r="G60" s="167" t="str">
        <x:v>約值（公開頁顯示 1.8K）</x:v>
      </x:c>
      <x:c r="H60" s="167" t="str">
        <x:v>未核到</x:v>
      </x:c>
      <x:c r="I60" s="167" t="str">
        <x:v>https://www.youtube.com/watch?v=m8aXrz0vFj0</x:v>
      </x:c>
      <x:c r="J60" s="179" t="str"/>
    </x:row>
    <x:row r="61" ht="45" customHeight="1">
      <x:c r="A61" s="178" t="str">
        <x:v>永豐直播｜今天Shot這盤</x:v>
      </x:c>
      <x:c r="B61" s="168" t="n">
        <x:v>46220</x:v>
      </x:c>
      <x:c r="C61" s="167" t="str"/>
      <x:c r="D61" s="167" t="str">
        <x:v>台積電法說大盤如何解讀？加權量縮收平！台指夜盤殺近千點？自行車族群迎春強攻！</x:v>
      </x:c>
      <x:c r="E61" s="169" t="n">
        <x:v>1000</x:v>
      </x:c>
      <x:c r="F61" s="170"/>
      <x:c r="G61" s="167" t="str">
        <x:v>約值（公開頁顯示 1K）</x:v>
      </x:c>
      <x:c r="H61" s="167" t="str">
        <x:v>未核到</x:v>
      </x:c>
      <x:c r="I61" s="167" t="str">
        <x:v>https://www.youtube.com/watch?v=o6ywOwzgtTs</x:v>
      </x:c>
      <x:c r="J61" s="179" t="str"/>
    </x:row>
    <x:row r="62" ht="45" customHeight="1">
      <x:c r="A62" s="178" t="str">
        <x:v>永豐直播｜今天Shot這盤</x:v>
      </x:c>
      <x:c r="B62" s="168" t="n">
        <x:v>46223</x:v>
      </x:c>
      <x:c r="C62" s="167" t="str"/>
      <x:c r="D62" s="167" t="str">
        <x:v>史上最大崩盤！台股狂瀉2,953點引爆歷史性恐慌，營收創高模範生：千附、台塑化</x:v>
      </x:c>
      <x:c r="E62" s="169" t="n">
        <x:v>2400</x:v>
      </x:c>
      <x:c r="F62" s="170"/>
      <x:c r="G62" s="167" t="str">
        <x:v>約值（公開頁顯示 2.4K）</x:v>
      </x:c>
      <x:c r="H62" s="167" t="str">
        <x:v>未核到</x:v>
      </x:c>
      <x:c r="I62" s="167" t="str">
        <x:v>https://www.youtube.com/watch?v=jmlyHuNJedU</x:v>
      </x:c>
      <x:c r="J62" s="179" t="str">
        <x:v>上架時間較短</x:v>
      </x:c>
    </x:row>
    <x:row r="63" ht="45" customHeight="1">
      <x:c r="A63" s="178" t="str">
        <x:v>元大看盤室</x:v>
      </x:c>
      <x:c r="B63" s="168" t="n">
        <x:v>46195</x:v>
      </x:c>
      <x:c r="C63" s="167" t="str"/>
      <x:c r="D63" s="167" t="str">
        <x:v>台積電及台股再創歷史新高！行情過熱還是才剛開始？</x:v>
      </x:c>
      <x:c r="E63" s="169"/>
      <x:c r="F63" s="170"/>
      <x:c r="G63" s="167" t="str">
        <x:v>公開索引未核到穩定觀看數</x:v>
      </x:c>
      <x:c r="H63" s="167" t="str">
        <x:v>公開索引未核到時長</x:v>
      </x:c>
      <x:c r="I63" s="167" t="str">
        <x:v>https://www.youtube.com/@yuantachannel</x:v>
      </x:c>
      <x:c r="J63" s="179" t="str"/>
    </x:row>
    <x:row r="64" ht="45" customHeight="1">
      <x:c r="A64" s="178" t="str">
        <x:v>元大看盤室</x:v>
      </x:c>
      <x:c r="B64" s="168" t="n">
        <x:v>46196</x:v>
      </x:c>
      <x:c r="C64" s="167" t="str"/>
      <x:c r="D64" s="167" t="str">
        <x:v>為何記憶體股今天重挫？台股下跌640點…（公開索引標題截斷）</x:v>
      </x:c>
      <x:c r="E64" s="169"/>
      <x:c r="F64" s="170"/>
      <x:c r="G64" s="167" t="str">
        <x:v>公開索引未核到穩定觀看數</x:v>
      </x:c>
      <x:c r="H64" s="167" t="str">
        <x:v>公開索引未核到時長</x:v>
      </x:c>
      <x:c r="I64" s="167" t="str">
        <x:v>https://www.youtube.com/@yuantachannel</x:v>
      </x:c>
      <x:c r="J64" s="179" t="str"/>
    </x:row>
    <x:row r="65" ht="45" customHeight="1">
      <x:c r="A65" s="178" t="str">
        <x:v>元大看盤室</x:v>
      </x:c>
      <x:c r="B65" s="168" t="n">
        <x:v>46197</x:v>
      </x:c>
      <x:c r="C65" s="167" t="str"/>
      <x:c r="D65" s="167" t="str">
        <x:v>《20260624元大看盤室》（公開索引未核到完整標題）</x:v>
      </x:c>
      <x:c r="E65" s="169"/>
      <x:c r="F65" s="170"/>
      <x:c r="G65" s="167" t="str">
        <x:v>公開索引未核到穩定觀看數</x:v>
      </x:c>
      <x:c r="H65" s="167" t="str">
        <x:v>公開索引未核到時長</x:v>
      </x:c>
      <x:c r="I65" s="167" t="str">
        <x:v>https://www.youtube.com/@yuantachannel</x:v>
      </x:c>
      <x:c r="J65" s="179" t="str"/>
    </x:row>
    <x:row r="66" ht="45" customHeight="1">
      <x:c r="A66" s="178" t="str">
        <x:v>元大看盤室</x:v>
      </x:c>
      <x:c r="B66" s="168" t="n">
        <x:v>46198</x:v>
      </x:c>
      <x:c r="C66" s="167" t="str"/>
      <x:c r="D66" s="167" t="str">
        <x:v>台股收漲211點多空拉鋸！內外資誰決定方向？權值股、高價股、中小股落底沒？</x:v>
      </x:c>
      <x:c r="E66" s="169"/>
      <x:c r="F66" s="170"/>
      <x:c r="G66" s="167" t="str">
        <x:v>公開索引未核到穩定觀看數</x:v>
      </x:c>
      <x:c r="H66" s="167" t="str">
        <x:v>公開索引未核到時長</x:v>
      </x:c>
      <x:c r="I66" s="167" t="str">
        <x:v>https://www.youtube.com/@yuantachannel</x:v>
      </x:c>
      <x:c r="J66" s="179" t="str"/>
    </x:row>
    <x:row r="67" ht="45" customHeight="1">
      <x:c r="A67" s="178" t="str">
        <x:v>元大看盤室</x:v>
      </x:c>
      <x:c r="B67" s="168" t="n">
        <x:v>46199</x:v>
      </x:c>
      <x:c r="C67" s="167" t="str"/>
      <x:c r="D67" s="167" t="str">
        <x:v>外資再砍1431億歷史第二大理由？全球二次通膨ING 科技產品淪陷！今教三大「逢低承接」技巧</x:v>
      </x:c>
      <x:c r="E67" s="169" t="n">
        <x:v>9600</x:v>
      </x:c>
      <x:c r="F67" s="170"/>
      <x:c r="G67" s="167" t="str">
        <x:v>公開索引約值；較早結果曾顯示 8.3K–8.4K</x:v>
      </x:c>
      <x:c r="H67" s="167" t="str">
        <x:v>未核到</x:v>
      </x:c>
      <x:c r="I67" s="167" t="str">
        <x:v>https://www.youtube.com/@yuantachannel</x:v>
      </x:c>
      <x:c r="J67" s="179" t="str">
        <x:v>觀看數隨時間累積</x:v>
      </x:c>
    </x:row>
    <x:row r="68" ht="45" customHeight="1">
      <x:c r="A68" s="178" t="str">
        <x:v>元大看盤室</x:v>
      </x:c>
      <x:c r="B68" s="168" t="n">
        <x:v>46202</x:v>
      </x:c>
      <x:c r="C68" s="167" t="str"/>
      <x:c r="D68" s="167" t="str">
        <x:v>《20260629元大看盤室》（公開索引未核到完整標題）</x:v>
      </x:c>
      <x:c r="E68" s="169"/>
      <x:c r="F68" s="170"/>
      <x:c r="G68" s="167" t="str">
        <x:v>公開索引未核到穩定觀看數</x:v>
      </x:c>
      <x:c r="H68" s="167" t="str">
        <x:v>公開索引未核到時長</x:v>
      </x:c>
      <x:c r="I68" s="167" t="str">
        <x:v>https://www.youtube.com/@yuantachannel</x:v>
      </x:c>
      <x:c r="J68" s="179" t="str"/>
    </x:row>
    <x:row r="69" ht="45" customHeight="1">
      <x:c r="A69" s="178" t="str">
        <x:v>元大看盤室</x:v>
      </x:c>
      <x:c r="B69" s="168" t="n">
        <x:v>46203</x:v>
      </x:c>
      <x:c r="C69" s="167" t="str"/>
      <x:c r="D69" s="167" t="str">
        <x:v>《20260630元大看盤室》（公開索引未核到完整標題）</x:v>
      </x:c>
      <x:c r="E69" s="169"/>
      <x:c r="F69" s="170"/>
      <x:c r="G69" s="167" t="str">
        <x:v>公開索引未核到穩定觀看數</x:v>
      </x:c>
      <x:c r="H69" s="167" t="str">
        <x:v>公開索引未核到時長</x:v>
      </x:c>
      <x:c r="I69" s="167" t="str">
        <x:v>https://www.youtube.com/@yuantachannel</x:v>
      </x:c>
      <x:c r="J69" s="179" t="str"/>
    </x:row>
    <x:row r="70" ht="45" customHeight="1">
      <x:c r="A70" s="178" t="str">
        <x:v>元大看盤室</x:v>
      </x:c>
      <x:c r="B70" s="168" t="n">
        <x:v>46204</x:v>
      </x:c>
      <x:c r="C70" s="167" t="str"/>
      <x:c r="D70" s="167" t="str">
        <x:v>《20260701元大看盤室》（公開索引未核到完整標題）</x:v>
      </x:c>
      <x:c r="E70" s="169"/>
      <x:c r="F70" s="170"/>
      <x:c r="G70" s="167" t="str">
        <x:v>公開索引未核到穩定觀看數</x:v>
      </x:c>
      <x:c r="H70" s="167" t="str">
        <x:v>公開索引未核到時長</x:v>
      </x:c>
      <x:c r="I70" s="167" t="str">
        <x:v>https://www.youtube.com/@yuantachannel</x:v>
      </x:c>
      <x:c r="J70" s="179" t="str"/>
    </x:row>
    <x:row r="71" ht="45" customHeight="1">
      <x:c r="A71" s="178" t="str">
        <x:v>元大看盤室</x:v>
      </x:c>
      <x:c r="B71" s="168" t="n">
        <x:v>46205</x:v>
      </x:c>
      <x:c r="C71" s="167" t="str"/>
      <x:c r="D71" s="167" t="str">
        <x:v>《20260702元大看盤室》（公開索引未核到完整標題）</x:v>
      </x:c>
      <x:c r="E71" s="169"/>
      <x:c r="F71" s="170"/>
      <x:c r="G71" s="167" t="str">
        <x:v>公開索引未核到穩定觀看數</x:v>
      </x:c>
      <x:c r="H71" s="167" t="str">
        <x:v>公開索引未核到時長</x:v>
      </x:c>
      <x:c r="I71" s="167" t="str">
        <x:v>https://www.youtube.com/@yuantachannel</x:v>
      </x:c>
      <x:c r="J71" s="179" t="str"/>
    </x:row>
    <x:row r="72" ht="45" customHeight="1">
      <x:c r="A72" s="178" t="str">
        <x:v>元大看盤室</x:v>
      </x:c>
      <x:c r="B72" s="168" t="n">
        <x:v>46206</x:v>
      </x:c>
      <x:c r="C72" s="167" t="str"/>
      <x:c r="D72" s="167" t="str">
        <x:v>《20260703元大看盤室》（公開索引未核到完整標題）</x:v>
      </x:c>
      <x:c r="E72" s="169"/>
      <x:c r="F72" s="170"/>
      <x:c r="G72" s="167" t="str">
        <x:v>公開索引未核到穩定觀看數</x:v>
      </x:c>
      <x:c r="H72" s="167" t="str">
        <x:v>公開索引未核到時長</x:v>
      </x:c>
      <x:c r="I72" s="167" t="str">
        <x:v>https://www.youtube.com/@yuantachannel</x:v>
      </x:c>
      <x:c r="J72" s="179" t="str"/>
    </x:row>
    <x:row r="73" ht="45" customHeight="1">
      <x:c r="A73" s="178" t="str">
        <x:v>元大看盤室</x:v>
      </x:c>
      <x:c r="B73" s="168" t="n">
        <x:v>46209</x:v>
      </x:c>
      <x:c r="C73" s="167" t="str"/>
      <x:c r="D73" s="167" t="str">
        <x:v>《20260706元大看盤室》（公開索引未核到完整標題）</x:v>
      </x:c>
      <x:c r="E73" s="169"/>
      <x:c r="F73" s="170"/>
      <x:c r="G73" s="167" t="str">
        <x:v>公開索引未核到穩定觀看數</x:v>
      </x:c>
      <x:c r="H73" s="167" t="str">
        <x:v>公開索引未核到時長</x:v>
      </x:c>
      <x:c r="I73" s="167" t="str">
        <x:v>https://www.youtube.com/@yuantachannel</x:v>
      </x:c>
      <x:c r="J73" s="179" t="str"/>
    </x:row>
    <x:row r="74" ht="45" customHeight="1">
      <x:c r="A74" s="178" t="str">
        <x:v>元大看盤室</x:v>
      </x:c>
      <x:c r="B74" s="168" t="n">
        <x:v>46210</x:v>
      </x:c>
      <x:c r="C74" s="167" t="str"/>
      <x:c r="D74" s="167" t="str">
        <x:v>《20260707元大看盤室》（公開索引未核到完整標題）</x:v>
      </x:c>
      <x:c r="E74" s="169"/>
      <x:c r="F74" s="170"/>
      <x:c r="G74" s="167" t="str">
        <x:v>公開索引未核到穩定觀看數</x:v>
      </x:c>
      <x:c r="H74" s="167" t="str">
        <x:v>公開索引未核到時長</x:v>
      </x:c>
      <x:c r="I74" s="167" t="str">
        <x:v>https://www.youtube.com/@yuantachannel</x:v>
      </x:c>
      <x:c r="J74" s="179" t="str"/>
    </x:row>
    <x:row r="75" ht="45" customHeight="1">
      <x:c r="A75" s="178" t="str">
        <x:v>元大看盤室</x:v>
      </x:c>
      <x:c r="B75" s="168" t="n">
        <x:v>46211</x:v>
      </x:c>
      <x:c r="C75" s="167" t="str"/>
      <x:c r="D75" s="167" t="str">
        <x:v>股后換人當背後意義？台積電明發股息！再滾入？三情境教學！國內通膨壓力升 台股影響？</x:v>
      </x:c>
      <x:c r="E75" s="169" t="n">
        <x:v>6500</x:v>
      </x:c>
      <x:c r="F75" s="170" t="n">
        <x:v>0.018078703703703704</x:v>
      </x:c>
      <x:c r="G75" s="167" t="str">
        <x:v>跨來源約 4.8K–6.5K；取較新公開值</x:v>
      </x:c>
      <x:c r="H75" s="167" t="str">
        <x:v>YouTube 公開時長</x:v>
      </x:c>
      <x:c r="I75" s="167" t="str">
        <x:v>https://www.youtube.com/@yuantachannel</x:v>
      </x:c>
      <x:c r="J75" s="179" t="str">
        <x:v>搜尋索引擷取時間不同</x:v>
      </x:c>
    </x:row>
    <x:row r="76" ht="45" customHeight="1">
      <x:c r="A76" s="178" t="str">
        <x:v>元大看盤室</x:v>
      </x:c>
      <x:c r="B76" s="168" t="n">
        <x:v>46212</x:v>
      </x:c>
      <x:c r="C76" s="167" t="str"/>
      <x:c r="D76" s="167" t="str">
        <x:v>台股量縮被殺尾 月線連三破！漲價族群有料？下週期貨結算＋台積電法說重點？</x:v>
      </x:c>
      <x:c r="E76" s="169"/>
      <x:c r="F76" s="170"/>
      <x:c r="G76" s="167" t="str">
        <x:v>公開索引未核到穩定觀看數</x:v>
      </x:c>
      <x:c r="H76" s="167" t="str">
        <x:v>公開索引未核到時長</x:v>
      </x:c>
      <x:c r="I76" s="167" t="str">
        <x:v>https://www.youtube.com/@yuantachannel</x:v>
      </x:c>
      <x:c r="J76" s="179" t="str"/>
    </x:row>
    <x:row r="77" ht="45" customHeight="1">
      <x:c r="A77" s="178" t="str">
        <x:v>元大看盤室</x:v>
      </x:c>
      <x:c r="B77" s="168" t="n">
        <x:v>46213</x:v>
      </x:c>
      <x:c r="C77" s="167" t="str"/>
      <x:c r="D77" s="167" t="str">
        <x:v>《20260710元大看盤室》（公開索引未核到完整標題）</x:v>
      </x:c>
      <x:c r="E77" s="169"/>
      <x:c r="F77" s="170"/>
      <x:c r="G77" s="167" t="str">
        <x:v>公開索引未核到穩定觀看數</x:v>
      </x:c>
      <x:c r="H77" s="167" t="str">
        <x:v>公開索引未核到時長</x:v>
      </x:c>
      <x:c r="I77" s="167" t="str">
        <x:v>https://www.youtube.com/@yuantachannel</x:v>
      </x:c>
      <x:c r="J77" s="179" t="str"/>
    </x:row>
    <x:row r="78" ht="45" customHeight="1">
      <x:c r="A78" s="178" t="str">
        <x:v>元大看盤室</x:v>
      </x:c>
      <x:c r="B78" s="168" t="n">
        <x:v>46216</x:v>
      </x:c>
      <x:c r="C78" s="167" t="str"/>
      <x:c r="D78" s="167" t="str">
        <x:v>《20260713元大看盤室》（公開索引未核到完整標題）</x:v>
      </x:c>
      <x:c r="E78" s="169"/>
      <x:c r="F78" s="170"/>
      <x:c r="G78" s="167" t="str">
        <x:v>公開索引未核到穩定觀看數</x:v>
      </x:c>
      <x:c r="H78" s="167" t="str">
        <x:v>公開索引未核到時長</x:v>
      </x:c>
      <x:c r="I78" s="167" t="str">
        <x:v>https://www.youtube.com/@yuantachannel</x:v>
      </x:c>
      <x:c r="J78" s="179" t="str"/>
    </x:row>
    <x:row r="79" ht="45" customHeight="1">
      <x:c r="A79" s="178" t="str">
        <x:v>元大看盤室</x:v>
      </x:c>
      <x:c r="B79" s="168" t="n">
        <x:v>46217</x:v>
      </x:c>
      <x:c r="C79" s="167" t="str"/>
      <x:c r="D79" s="167" t="str">
        <x:v>台股增量下跌 拉回是危機還是機會？真正該擔心的利空在哪？緊盯止跌關鍵訊號！</x:v>
      </x:c>
      <x:c r="E79" s="169" t="n">
        <x:v>5800</x:v>
      </x:c>
      <x:c r="F79" s="170"/>
      <x:c r="G79" s="167" t="str">
        <x:v>約值（公開索引）</x:v>
      </x:c>
      <x:c r="H79" s="167" t="str">
        <x:v>未核到</x:v>
      </x:c>
      <x:c r="I79" s="167" t="str">
        <x:v>https://www.youtube.com/@yuantachannel</x:v>
      </x:c>
      <x:c r="J79" s="179" t="str"/>
    </x:row>
    <x:row r="80" ht="45" customHeight="1">
      <x:c r="A80" s="178" t="str">
        <x:v>元大看盤室</x:v>
      </x:c>
      <x:c r="B80" s="168" t="n">
        <x:v>46218</x:v>
      </x:c>
      <x:c r="C80" s="167" t="str"/>
      <x:c r="D80" s="167" t="str">
        <x:v>《20260715元大看盤室》（公開索引未核到完整標題）</x:v>
      </x:c>
      <x:c r="E80" s="169"/>
      <x:c r="F80" s="170"/>
      <x:c r="G80" s="167" t="str">
        <x:v>公開索引未核到穩定觀看數</x:v>
      </x:c>
      <x:c r="H80" s="167" t="str">
        <x:v>公開索引未核到時長</x:v>
      </x:c>
      <x:c r="I80" s="167" t="str">
        <x:v>https://www.youtube.com/@yuantachannel</x:v>
      </x:c>
      <x:c r="J80" s="179" t="str"/>
    </x:row>
    <x:row r="81" ht="45" customHeight="1">
      <x:c r="A81" s="178" t="str">
        <x:v>元大看盤室</x:v>
      </x:c>
      <x:c r="B81" s="168" t="n">
        <x:v>46219</x:v>
      </x:c>
      <x:c r="C81" s="167" t="str"/>
      <x:c r="D81" s="167" t="str">
        <x:v>台股小跌6點走穩必看一訊號！台積電Q2賺翻？為何ADR跌？台積電法說會法人在意的點在哪？</x:v>
      </x:c>
      <x:c r="E81" s="169" t="n">
        <x:v>13000</x:v>
      </x:c>
      <x:c r="F81" s="170"/>
      <x:c r="G81" s="167" t="str">
        <x:v>約值（公開頁顯示 13K）</x:v>
      </x:c>
      <x:c r="H81" s="167" t="str">
        <x:v>未核到</x:v>
      </x:c>
      <x:c r="I81" s="167" t="str">
        <x:v>https://www.youtube.com/@yuantachannel</x:v>
      </x:c>
      <x:c r="J81" s="179" t="str"/>
    </x:row>
    <x:row r="82" ht="45" customHeight="1">
      <x:c r="A82" s="178" t="str">
        <x:v>元大看盤室</x:v>
      </x:c>
      <x:c r="B82" s="168" t="n">
        <x:v>46220</x:v>
      </x:c>
      <x:c r="C82" s="167" t="str"/>
      <x:c r="D82" s="167" t="str">
        <x:v>黑色星期五再現！台股崩跌2953點 創史上最大跌點 外資、自營商賣超創紀錄</x:v>
      </x:c>
      <x:c r="E82" s="169"/>
      <x:c r="F82" s="170"/>
      <x:c r="G82" s="167" t="str">
        <x:v>公開索引未核到穩定觀看數</x:v>
      </x:c>
      <x:c r="H82" s="167" t="str">
        <x:v>公開索引未核到時長</x:v>
      </x:c>
      <x:c r="I82" s="167" t="str">
        <x:v>https://www.youtube.com/@yuantachannel</x:v>
      </x:c>
      <x:c r="J82" s="179" t="str"/>
    </x:row>
    <x:row r="83" ht="45" customHeight="1">
      <x:c r="A83" s="180" t="str">
        <x:v>元大看盤室</x:v>
      </x:c>
      <x:c r="B83" s="181" t="n">
        <x:v>46223</x:v>
      </x:c>
      <x:c r="C83" s="182" t="str"/>
      <x:c r="D83" s="182" t="str">
        <x:v>關稅到期日將至 對台股未來影響？櫃買一度失守季線 台股止跌條件？從高價股觀察資金動向！</x:v>
      </x:c>
      <x:c r="E83" s="183" t="n">
        <x:v>2600</x:v>
      </x:c>
      <x:c r="F83" s="184"/>
      <x:c r="G83" s="182" t="str">
        <x:v>約值（公開頁顯示 2.6K）</x:v>
      </x:c>
      <x:c r="H83" s="182" t="str">
        <x:v>未核到</x:v>
      </x:c>
      <x:c r="I83" s="182" t="str">
        <x:v>https://www.youtube.com/watch?v=78MEEjslAIg</x:v>
      </x:c>
      <x:c r="J83" s="185" t="str">
        <x:v>上架時間較短</x:v>
      </x:c>
    </x:row>
  </x:sheetData>
  <x:conditionalFormatting sqref="E2:E83">
    <x:cfRule type="dataBar" priority="1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{F966E4CE-0104-F882-5D4D-8B227B5208DC}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5ca54f4f89b43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66E4CE-0104-F882-5D4D-8B227B5208DC}">
            <x14:dataBar gradient="1">
              <x14:cfvo type="min"/>
              <x14:cfvo type="max"/>
              <x14:fillColor rgb="FFD97706"/>
            </x14:dataBar>
          </x14:cfRule>
          <xm:sqref>E2:E83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48" hidden="0" customWidth="1"/>
  </x:cols>
  <x:sheetData>
    <x:row r="1" ht="34" customHeight="1">
      <x:c r="A1" s="5" t="str">
        <x:v>方法、口徑與資料限制</x:v>
      </x:c>
      <x:c r="B1" s="5"/>
      <x:c r="C1" s="5"/>
      <x:c r="D1" s="5"/>
      <x:c r="E1" s="5"/>
      <x:c r="F1" s="5"/>
    </x:row>
    <x:row r="3">
      <x:c r="A3" s="175" t="str">
        <x:v>項目</x:v>
      </x:c>
      <x:c r="B3" s="176" t="str">
        <x:v>說明</x:v>
      </x:c>
      <x:c r="C3" s="177" t="str">
        <x:v>相關來源</x:v>
      </x:c>
    </x:row>
    <x:row r="4" ht="42" customHeight="1">
      <x:c r="A4" s="178" t="str">
        <x:v>比較期間</x:v>
      </x:c>
      <x:c r="B4" s="167" t="str">
        <x:v>2026/06/22–2026/07/20；排除2026/07/21當日尚可能持續新增或未完成的直播。</x:v>
      </x:c>
      <x:c r="C4" s="179" t="str"/>
    </x:row>
    <x:row r="5" ht="42" customHeight="1">
      <x:c r="A5" s="178" t="str">
        <x:v>擷取時間</x:v>
      </x:c>
      <x:c r="B5" s="167" t="str">
        <x:v>2026/07/21，時區 Asia/Taipei。</x:v>
      </x:c>
      <x:c r="C5" s="179" t="str"/>
    </x:row>
    <x:row r="6" ht="42" customHeight="1">
      <x:c r="A6" s="178" t="str">
        <x:v>觀看數口徑</x:v>
      </x:c>
      <x:c r="B6" s="167" t="str">
        <x:v>YouTube 公開頁或搜尋索引顯示的累積觀看數；K、萬等縮寫換算為約值，不代表後台精確計數。</x:v>
      </x:c>
      <x:c r="C6" s="179" t="str">
        <x:v>https://www.youtube.com/</x:v>
      </x:c>
    </x:row>
    <x:row r="7" ht="42" customHeight="1">
      <x:c r="A7" s="178" t="str">
        <x:v>可核樣本</x:v>
      </x:c>
      <x:c r="B7" s="167" t="str">
        <x:v>只有公開頁明確顯示觀看數的影片才進入摘要統計；空白代表未核到，不代表0。</x:v>
      </x:c>
      <x:c r="C7" s="179" t="str"/>
    </x:row>
    <x:row r="8" ht="42" customHeight="1">
      <x:c r="A8" s="178" t="str">
        <x:v>中位數優先</x:v>
      </x:c>
      <x:c r="B8" s="167" t="str">
        <x:v>各節目更新頻率及每支影片上架天數不同，因此中位數比總觀看數更適合比較典型單場表現。</x:v>
      </x:c>
      <x:c r="C8" s="179" t="str"/>
    </x:row>
    <x:row r="9" ht="42" customHeight="1">
      <x:c r="A9" s="178" t="str">
        <x:v>跨來源差異</x:v>
      </x:c>
      <x:c r="B9" s="167" t="str">
        <x:v>YouTube直接結果、頻道頁與搜尋索引的擷取時間可能不同；本表保留差異說明，原則上採較新的累積值。</x:v>
      </x:c>
      <x:c r="C9" s="179" t="str"/>
    </x:row>
    <x:row r="10" ht="42" customHeight="1">
      <x:c r="A10" s="178" t="str">
        <x:v>時長</x:v>
      </x:c>
      <x:c r="B10" s="167" t="str">
        <x:v>優先採YouTube公開頁；少數游庭皓時長由同步Podcast頁補充，已在「時長精度」欄標示。</x:v>
      </x:c>
      <x:c r="C10" s="179" t="str">
        <x:v>https://podcasts.apple.com/tw/podcast/id1488295306</x:v>
      </x:c>
    </x:row>
    <x:row r="11" ht="42" customHeight="1">
      <x:c r="A11" s="180" t="str">
        <x:v>公平追蹤建議</x:v>
      </x:c>
      <x:c r="B11" s="182" t="str">
        <x:v>未來固定在每支影片發布後24小時、72小時、7天截取觀看數，才能排除累積天數差異。</x:v>
      </x:c>
      <x:c r="C11" s="185" t="str"/>
    </x:row>
    <x:row r="14">
      <x:c r="A14" s="175" t="str">
        <x:v>頻道</x:v>
      </x:c>
      <x:c r="B14" s="176" t="str">
        <x:v>節目</x:v>
      </x:c>
      <x:c r="C14" s="177" t="str">
        <x:v>URL</x:v>
      </x:c>
    </x:row>
    <x:row r="15">
      <x:c r="A15" s="197" t="str">
        <x:v>永豐金證券</x:v>
      </x:c>
      <x:c r="B15" s="198" t="str">
        <x:v>今天Shot這盤</x:v>
      </x:c>
      <x:c r="C15" s="199" t="str">
        <x:v>https://www.youtube.com/@SinoEC/streams</x:v>
      </x:c>
    </x:row>
    <x:row r="16">
      <x:c r="A16" s="197" t="str">
        <x:v>凱基證券</x:v>
      </x:c>
      <x:c r="B16" s="198" t="str">
        <x:v>凱基股股漲</x:v>
      </x:c>
      <x:c r="C16" s="199" t="str">
        <x:v>https://www.youtube.com/@KGISIA.channel</x:v>
      </x:c>
    </x:row>
    <x:row r="17">
      <x:c r="A17" s="197" t="str">
        <x:v>游庭皓的財經皓角</x:v>
      </x:c>
      <x:c r="B17" s="198" t="str">
        <x:v>早晨財經速解讀</x:v>
      </x:c>
      <x:c r="C17" s="199" t="str">
        <x:v>https://www.youtube.com/@yutinghaofinance/streams</x:v>
      </x:c>
    </x:row>
    <x:row r="18">
      <x:c r="A18" s="200" t="str">
        <x:v>元大投顧財金頻道</x:v>
      </x:c>
      <x:c r="B18" s="201" t="str">
        <x:v>元大看盤室</x:v>
      </x:c>
      <x:c r="C18" s="202" t="str">
        <x:v>https://www.youtube.com/@yuantachannel</x:v>
      </x:c>
    </x:row>
  </x:sheetData>
  <x:mergeCells>
    <x:mergeCell ref="A1:F1"/>
  </x:mergeCells>
  <x:pageMargins left="0.7" right="0.7" top="0.75" bottom="0.75" header="0.3" footer="0.3"/>
</x:worksheet>
</file>